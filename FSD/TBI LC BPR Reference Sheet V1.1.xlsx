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xilligencepvtltd-my.sharepoint.com/personal/venkateshwaran_t_xilligence_com/Documents/Documents/TBI/TBI/FSD/"/>
    </mc:Choice>
  </mc:AlternateContent>
  <xr:revisionPtr revIDLastSave="12" documentId="11_409C11AB05FFEDC40DA456530C2155F3AE024E9E" xr6:coauthVersionLast="47" xr6:coauthVersionMax="47" xr10:uidLastSave="{21D3CA5A-5727-433E-9438-8E467BEEA436}"/>
  <bookViews>
    <workbookView xWindow="-120" yWindow="-120" windowWidth="20730" windowHeight="11040" firstSheet="2" activeTab="4" xr2:uid="{00000000-000D-0000-FFFF-FFFF00000000}"/>
  </bookViews>
  <sheets>
    <sheet name="Sign Off" sheetId="8" r:id="rId1"/>
    <sheet name="Version History" sheetId="9" r:id="rId2"/>
    <sheet name="Products" sheetId="5" r:id="rId3"/>
    <sheet name="Processes" sheetId="4" r:id="rId4"/>
    <sheet name="Scoping Gaps" sheetId="3" r:id="rId5"/>
    <sheet name="Followup Sheet" sheetId="1" r:id="rId6"/>
    <sheet name="Drop Down Fields" sheetId="6"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'Followup Sheet'!$A$2:$P$7</definedName>
    <definedName name="_xlnm._FilterDatabase" localSheetId="4" hidden="1">'Scoping Gaps'!$A$1:$V$1</definedName>
    <definedName name="a">#REF!</definedName>
    <definedName name="Attendance" comment="Please Select 'N/A' if not applicable, 'No' if a designated attendee was not in attendance and 'Yes' if the attendee was in attendance" localSheetId="5">'[1]Drop Down Fields'!$F$28:$F$30</definedName>
    <definedName name="Attendance" comment="Please Select 'N/A' if not applicable, 'No' if a designated attendee was not in attendance and 'Yes' if the attendee was in attendance" localSheetId="4">'[2]Drop Down Fields'!$F$28:$F$30</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#REF!</definedName>
    <definedName name="BSDStatus" localSheetId="5">'[1]Drop Down Fields'!$D$26:$D$31</definedName>
    <definedName name="BSDStatus" localSheetId="4">'[2]Drop Down Fields'!$D$26:$D$31</definedName>
    <definedName name="BSDStatus" localSheetId="0">#REF!</definedName>
    <definedName name="BSDStatus">#REF!</definedName>
    <definedName name="Cus" localSheetId="0">[3]Processes!$1:$1048576</definedName>
    <definedName name="Cus">[4]Processes!$1:$1048576</definedName>
    <definedName name="Effort" localSheetId="0">#REF!</definedName>
    <definedName name="Effort">#REF!</definedName>
    <definedName name="fhgcnhfv">'[5]Drop Down Fields'!$D$16:$D$19</definedName>
    <definedName name="FollowUPCategory" localSheetId="0">#REF!</definedName>
    <definedName name="FollowUPCategory">#REF!</definedName>
    <definedName name="FollowUpStatus" localSheetId="5">'[1]Drop Down Fields'!$D$22:$D$23</definedName>
    <definedName name="FollowUpStatus" localSheetId="4">'[2]Drop Down Fields'!$D$22:$D$23</definedName>
    <definedName name="FollowUpStatus" localSheetId="0">#REF!</definedName>
    <definedName name="FollowUpStatus">#REF!</definedName>
    <definedName name="FSDStatus" localSheetId="5">'[1]Drop Down Fields'!$F$20:$F$25</definedName>
    <definedName name="FSDStatus" localSheetId="4">'[2]Drop Down Fields'!$F$20:$F$25</definedName>
    <definedName name="FSDStatus" localSheetId="0">#REF!</definedName>
    <definedName name="FSDStatus">#REF!</definedName>
    <definedName name="GapPriority" localSheetId="5">'[1]Drop Down Fields'!$F$15:$F$17</definedName>
    <definedName name="GapPriority" localSheetId="4">'[2]Drop Down Fields'!$F$15:$F$17</definedName>
    <definedName name="GapPriority" localSheetId="0">#REF!</definedName>
    <definedName name="GapPriority">#REF!</definedName>
    <definedName name="GapStatus" localSheetId="0">#REF!</definedName>
    <definedName name="GapStatus">#REF!</definedName>
    <definedName name="Level" localSheetId="5">'[1]Drop Down Fields'!$I$3:$I$5</definedName>
    <definedName name="Level" localSheetId="4">'[2]Drop Down Fields'!$I$3:$I$5</definedName>
    <definedName name="Level" localSheetId="0">#REF!</definedName>
    <definedName name="Level">#REF!</definedName>
    <definedName name="MoSCoW" localSheetId="5">'[1]Drop Down Fields'!$B$3:$B$6</definedName>
    <definedName name="MoSCoW" localSheetId="4">'[2]Drop Down Fields'!$B$3:$B$6</definedName>
    <definedName name="MoSCoW" localSheetId="0">#REF!</definedName>
    <definedName name="MoSCoW">#REF!</definedName>
    <definedName name="NewGapStatus" localSheetId="5">'[1]Drop Down Fields'!$I$9:$I$19</definedName>
    <definedName name="NewGapStatus" localSheetId="4">'[2]Drop Down Fields'!$I$9:$I$19</definedName>
    <definedName name="NewGapStatus" localSheetId="0">#REF!</definedName>
    <definedName name="NewGapStatus">#REF!</definedName>
    <definedName name="NewGapType" localSheetId="5">'[1]Drop Down Fields'!$B$14:$B$18</definedName>
    <definedName name="NewGapType" localSheetId="4">'[2]Drop Down Fields'!$B$14:$B$18</definedName>
    <definedName name="NewGapType" localSheetId="0">#REF!</definedName>
    <definedName name="NewGapType">#REF!</definedName>
    <definedName name="Owner" localSheetId="5">'[1]Drop Down Fields'!$B$27:$B$30</definedName>
    <definedName name="Owner" localSheetId="4">'[2]Drop Down Fields'!$B$27:$B$30</definedName>
    <definedName name="Owner" localSheetId="0">#REF!</definedName>
    <definedName name="Owner">#REF!</definedName>
    <definedName name="Priority" localSheetId="5">'[1]Drop Down Fields'!$I$27:$I$29</definedName>
    <definedName name="Priority" localSheetId="4">'[2]Drop Down Fields'!$I$27:$I$29</definedName>
    <definedName name="Priority" localSheetId="0">#REF!</definedName>
    <definedName name="Priority">#REF!</definedName>
    <definedName name="ProcessStatus" localSheetId="5">'[1]Drop Down Fields'!$D$16:$D$19</definedName>
    <definedName name="ProcessStatus" localSheetId="4">'[2]Drop Down Fields'!$D$16:$D$19</definedName>
    <definedName name="ProcessStatus" localSheetId="0">#REF!</definedName>
    <definedName name="ProcessStatus">#REF!</definedName>
    <definedName name="RAG" localSheetId="5">'[1]Drop Down Fields'!$I$32:$I$34</definedName>
    <definedName name="RAG" localSheetId="4">'[2]Drop Down Fields'!$I$32:$I$34</definedName>
    <definedName name="RAG" localSheetId="0">#REF!</definedName>
    <definedName name="RAG">#REF!</definedName>
    <definedName name="ScopingGapStatus" localSheetId="5">'[1]Drop Down Fields'!$F$3:$F$11</definedName>
    <definedName name="ScopingGapStatus" localSheetId="4">'[2]Drop Down Fields'!$F$3:$F$11</definedName>
    <definedName name="ScopingGapStatus" localSheetId="0">#REF!</definedName>
    <definedName name="ScopingGapStatus">#REF!</definedName>
    <definedName name="ScopingGapType" localSheetId="0">#REF!</definedName>
    <definedName name="ScopingGapType">#REF!</definedName>
    <definedName name="Status" localSheetId="0">#REF!</definedName>
    <definedName name="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1" l="1"/>
  <c r="P7" i="1"/>
  <c r="Q6" i="1"/>
  <c r="P6" i="1"/>
  <c r="Q5" i="1"/>
  <c r="P5" i="1"/>
  <c r="Q4" i="1"/>
  <c r="P4" i="1"/>
</calcChain>
</file>

<file path=xl/sharedStrings.xml><?xml version="1.0" encoding="utf-8"?>
<sst xmlns="http://schemas.openxmlformats.org/spreadsheetml/2006/main" count="636" uniqueCount="416">
  <si>
    <t>#</t>
  </si>
  <si>
    <t>Name</t>
  </si>
  <si>
    <t>Role</t>
  </si>
  <si>
    <t>Company</t>
  </si>
  <si>
    <t>Signature</t>
  </si>
  <si>
    <t>Date</t>
  </si>
  <si>
    <t>S.No</t>
  </si>
  <si>
    <t>Version No</t>
  </si>
  <si>
    <t>Created by</t>
  </si>
  <si>
    <t>Creation Date</t>
  </si>
  <si>
    <t>Amendment Date</t>
  </si>
  <si>
    <t>Amended By</t>
  </si>
  <si>
    <t>Amendment Reason</t>
  </si>
  <si>
    <t>Amendment Description</t>
  </si>
  <si>
    <t>Taiyyab Azim</t>
  </si>
  <si>
    <t>Note: If there are any amendments to be made in the BPR sheet then please change the version name to 1.1 and so on. Amendment details should be properly given. If possible should be highlighted with different color.</t>
  </si>
  <si>
    <t>Product ID</t>
  </si>
  <si>
    <t xml:space="preserve">PRODUCT </t>
  </si>
  <si>
    <t>OVERVIEW</t>
  </si>
  <si>
    <t>FEATURES</t>
  </si>
  <si>
    <t>CURRENCY</t>
  </si>
  <si>
    <t>INTEREST RATE</t>
  </si>
  <si>
    <t>PA</t>
  </si>
  <si>
    <t>Start
Slippage</t>
  </si>
  <si>
    <t>Duration
Slippage</t>
  </si>
  <si>
    <t>Process Discussion Status</t>
  </si>
  <si>
    <t>Comments</t>
  </si>
  <si>
    <t>Trade Finance</t>
  </si>
  <si>
    <t>Import Letter of Credit</t>
  </si>
  <si>
    <t>Applicant Must be a Customer</t>
  </si>
  <si>
    <t>Collect Charges &amp; Commissions. Online Limits, Accounting Updates. SWIFT, Letters and Advices generates on line.</t>
  </si>
  <si>
    <t>Any ISO standard Currency</t>
  </si>
  <si>
    <t>NA</t>
  </si>
  <si>
    <t>Completed</t>
  </si>
  <si>
    <t xml:space="preserve">Export Letter of Credit </t>
  </si>
  <si>
    <t>Beneficiary and LC Issuance Bank Must be a Customer</t>
  </si>
  <si>
    <t>Inward Documentary Collection</t>
  </si>
  <si>
    <t>Outward Documentary Collection</t>
  </si>
  <si>
    <t>Inward Clean Collection</t>
  </si>
  <si>
    <t>Outward Clean Collection</t>
  </si>
  <si>
    <t>LC Reimbursement Processing</t>
  </si>
  <si>
    <t>LC Issuance Bank Must be a Customer</t>
  </si>
  <si>
    <t>Register/Amend Reimbursment, Aceept / Pay / Reject Claims. Charge Commissions</t>
  </si>
  <si>
    <t>Process ID</t>
  </si>
  <si>
    <t>Process Name</t>
  </si>
  <si>
    <t>Level</t>
  </si>
  <si>
    <t>Plan
Start Date</t>
  </si>
  <si>
    <t>Plan
Finish Date</t>
  </si>
  <si>
    <t>Duration (Hrs)</t>
  </si>
  <si>
    <t>Actual
Start Date</t>
  </si>
  <si>
    <t>Actual
Finish Date</t>
  </si>
  <si>
    <t>WS04</t>
  </si>
  <si>
    <t>TRADE FINANCE</t>
  </si>
  <si>
    <t>WS04-01</t>
  </si>
  <si>
    <t>Letter of Credits</t>
  </si>
  <si>
    <t>WS04-01-01</t>
  </si>
  <si>
    <t>Issuance Import LC</t>
  </si>
  <si>
    <t>WS04-01-01.1</t>
  </si>
  <si>
    <t>Pre Advice of Import LCs</t>
  </si>
  <si>
    <t>As Per MB</t>
  </si>
  <si>
    <t>WS04-01-01.2</t>
  </si>
  <si>
    <t>Pre Advice to Issue/List of Preadvised LCs</t>
  </si>
  <si>
    <t>WS04-01-01.3</t>
  </si>
  <si>
    <t>Issue of Sight Payment LCs</t>
  </si>
  <si>
    <t>WS04-01-01.4</t>
  </si>
  <si>
    <t>Issue of Usance LCs</t>
  </si>
  <si>
    <t>WS04-01-01.5</t>
  </si>
  <si>
    <t>Issue of Negotiation LCs</t>
  </si>
  <si>
    <t>WS04-01-01.6</t>
  </si>
  <si>
    <t>Issue of Mixed Payment LCs</t>
  </si>
  <si>
    <t>WS04-01-01.7</t>
  </si>
  <si>
    <t>Issue of Stand By LCs</t>
  </si>
  <si>
    <t>WS04-01-01.8</t>
  </si>
  <si>
    <t>Issue Internet LCs</t>
  </si>
  <si>
    <t>WS04-01-02</t>
  </si>
  <si>
    <t>Maintenance of Import LCs</t>
  </si>
  <si>
    <t>WS04-01-02.1</t>
  </si>
  <si>
    <t>Take/Reduce Margin</t>
  </si>
  <si>
    <t>WS04-01-02.2</t>
  </si>
  <si>
    <t>Release Margin</t>
  </si>
  <si>
    <t>WS04-01-02.3</t>
  </si>
  <si>
    <t>Internal Amendment</t>
  </si>
  <si>
    <t>WS04-01-02.4</t>
  </si>
  <si>
    <t>External Amendment</t>
  </si>
  <si>
    <t>WS04-01-02.5</t>
  </si>
  <si>
    <t>Amendment seeking Benef's Consent</t>
  </si>
  <si>
    <t>WS04-01-02.6</t>
  </si>
  <si>
    <t>Approve/Reject Amendment of Import LC</t>
  </si>
  <si>
    <t>WS04-01-02.7</t>
  </si>
  <si>
    <t>Cancellation of Import LC</t>
  </si>
  <si>
    <t>WS04-01-03</t>
  </si>
  <si>
    <t>Import Drawings (Clean)</t>
  </si>
  <si>
    <t>WS04-01-03.1</t>
  </si>
  <si>
    <t>Lodge Documents under Import LC</t>
  </si>
  <si>
    <t>WS04-01-03.2</t>
  </si>
  <si>
    <t>Drawings Under Shipping Guarantee</t>
  </si>
  <si>
    <t>WS04-01-03.3</t>
  </si>
  <si>
    <t>Sight Payment under Import LC</t>
  </si>
  <si>
    <t>WS04-01-03.4</t>
  </si>
  <si>
    <t>Acceptance of Documents</t>
  </si>
  <si>
    <t>WS04-01-03.5</t>
  </si>
  <si>
    <t>Online Maturity of Acceptances(Imports)</t>
  </si>
  <si>
    <t>WS04-01-03.6</t>
  </si>
  <si>
    <t>Amendment to Paid Drawings</t>
  </si>
  <si>
    <t>WS04-01-04</t>
  </si>
  <si>
    <t>Import Drawings (Discrepant)</t>
  </si>
  <si>
    <t>WS04-01-04.1</t>
  </si>
  <si>
    <t>WS04-01-04.2</t>
  </si>
  <si>
    <t>Documents Pending for Applicant Approval</t>
  </si>
  <si>
    <t>WS04-01-04.3</t>
  </si>
  <si>
    <t>Reject Documents under Import LC</t>
  </si>
  <si>
    <t>WS04-01-04.4</t>
  </si>
  <si>
    <t>Handling of Rejected Documents(Imports)</t>
  </si>
  <si>
    <t>WS04-01-04.5</t>
  </si>
  <si>
    <t>Online Maturity of Accepted Documents</t>
  </si>
  <si>
    <t>WS04-01-04.6</t>
  </si>
  <si>
    <t>Amendment to Paid Documents</t>
  </si>
  <si>
    <t>WS04-01-05</t>
  </si>
  <si>
    <t>Import Drawings Released Under Trust</t>
  </si>
  <si>
    <t>Financing Related Products Will Be Part Of MVP II</t>
  </si>
  <si>
    <t>WS04-01-05.1</t>
  </si>
  <si>
    <t>Release Document Under Trust</t>
  </si>
  <si>
    <t>WS04-01-05.2</t>
  </si>
  <si>
    <t>Pay/Reject/Accept Doc Released Under Trust</t>
  </si>
  <si>
    <t>WS04-01-05.3</t>
  </si>
  <si>
    <t>WS04-01-05.4</t>
  </si>
  <si>
    <t>Final Rejection of Documents</t>
  </si>
  <si>
    <t>WS04-01-06</t>
  </si>
  <si>
    <t>Sight Payment under Import LC (with Finance)</t>
  </si>
  <si>
    <t>WS04-01-07</t>
  </si>
  <si>
    <t>Create Loan for Import Payment </t>
  </si>
  <si>
    <t>WS04-01-08</t>
  </si>
  <si>
    <t>Discounting of Usance Bills(Imports)</t>
  </si>
  <si>
    <t>WS04-01-09</t>
  </si>
  <si>
    <t>WS04-01-10</t>
  </si>
  <si>
    <t>Amendment to Usance Discounting</t>
  </si>
  <si>
    <t>Export Letter of Credits</t>
  </si>
  <si>
    <t>Advice Export LCs</t>
  </si>
  <si>
    <t>WS04-01-09.1</t>
  </si>
  <si>
    <t>Pre-Advice</t>
  </si>
  <si>
    <t>WS04-01-09.2</t>
  </si>
  <si>
    <t>PreAdvice to Advice/List of Preadvised LCs</t>
  </si>
  <si>
    <t>WS04-01-09.3</t>
  </si>
  <si>
    <t>Advise/Register Sight Payment LCs</t>
  </si>
  <si>
    <t>WS04-01-09.4</t>
  </si>
  <si>
    <t>Advise/Register Usance LCs</t>
  </si>
  <si>
    <t>WS04-01-09.5</t>
  </si>
  <si>
    <t>Advise/Register Negotiation LCs</t>
  </si>
  <si>
    <t>WS04-01-09.6</t>
  </si>
  <si>
    <t>Advise/Register Mixed Payment LCs</t>
  </si>
  <si>
    <t>WS04-01-09.7</t>
  </si>
  <si>
    <t>Advise/Register Stand By LCs</t>
  </si>
  <si>
    <t>WS04-01-09.8</t>
  </si>
  <si>
    <t>Inward SWIFT Message (LC)</t>
  </si>
  <si>
    <t>WS04-01-09.9</t>
  </si>
  <si>
    <t>Transfer of Export LCs</t>
  </si>
  <si>
    <t>Amend Export LCs</t>
  </si>
  <si>
    <t>WS04-01-10.1</t>
  </si>
  <si>
    <t>WS04-01-10.2</t>
  </si>
  <si>
    <t>WS04-01-10.3</t>
  </si>
  <si>
    <t>WS04-01-10.4</t>
  </si>
  <si>
    <t>Approve/Reject Amendment of Export LC</t>
  </si>
  <si>
    <t>WS04-01-10.5</t>
  </si>
  <si>
    <t>Cancellation of Export LC</t>
  </si>
  <si>
    <t>WS04-01-11</t>
  </si>
  <si>
    <t>Export Drawings (Clean)</t>
  </si>
  <si>
    <t>WS04-01-11.1</t>
  </si>
  <si>
    <t>Lodge Documents under Export LC</t>
  </si>
  <si>
    <t>WS04-01-11.2</t>
  </si>
  <si>
    <t>Sight Payment under Export LC</t>
  </si>
  <si>
    <t>WS04-01-11.3</t>
  </si>
  <si>
    <t>Acceptance under Export LC</t>
  </si>
  <si>
    <t>WS04-01-11.4</t>
  </si>
  <si>
    <t>Online Maturity of Acceptances</t>
  </si>
  <si>
    <t>WS04-01-12</t>
  </si>
  <si>
    <t>Export Drawings (Discrepant)</t>
  </si>
  <si>
    <t>WS04-01-12.1</t>
  </si>
  <si>
    <t>Lodge Discrepant Docs under Export LC</t>
  </si>
  <si>
    <t>WS04-01-12.2</t>
  </si>
  <si>
    <t>Reject Discrepant Documents (Exports)</t>
  </si>
  <si>
    <t>WS04-01-12.3</t>
  </si>
  <si>
    <t>Handling of Rejected Documents(Exports)</t>
  </si>
  <si>
    <t>WS04-01-12.4</t>
  </si>
  <si>
    <t>Online Maturity of Acceptance Documents</t>
  </si>
  <si>
    <t>WS04-01-13</t>
  </si>
  <si>
    <t>Export Drawings Under Reserve</t>
  </si>
  <si>
    <t>WS04-01-13.1</t>
  </si>
  <si>
    <t>Payment Under Reserve (Exports)</t>
  </si>
  <si>
    <t>WS04-01-13.2</t>
  </si>
  <si>
    <t>Payment of Sight Bill Paid Under Reserve</t>
  </si>
  <si>
    <t>WS04-01-13.3</t>
  </si>
  <si>
    <t>Bill (Paid Under Reserve) Returned Unpaid</t>
  </si>
  <si>
    <t>WS04-01-13.4</t>
  </si>
  <si>
    <t>Final Rejection of Export Bills</t>
  </si>
  <si>
    <t>WS04-01-14</t>
  </si>
  <si>
    <t>Export Drawings Discounted / Negotiation</t>
  </si>
  <si>
    <t>WS04-01-14.1</t>
  </si>
  <si>
    <t xml:space="preserve">Sight Bill Negotiation / Discounting </t>
  </si>
  <si>
    <t>WS04-01-14.2</t>
  </si>
  <si>
    <t>Amendment to Sight Discouting</t>
  </si>
  <si>
    <t>WS04-01-14.3</t>
  </si>
  <si>
    <t>Usance Bill Negotiation / Discounting</t>
  </si>
  <si>
    <t>WS04-01-14.4</t>
  </si>
  <si>
    <t>Amendment to Usance Negotiation / Discounting</t>
  </si>
  <si>
    <t>WS04-01-15</t>
  </si>
  <si>
    <t>Export Loan and Adjustment from Bill Proceeds</t>
  </si>
  <si>
    <t>WS04-01-15.1</t>
  </si>
  <si>
    <t>Create Export Packing Credit Limit</t>
  </si>
  <si>
    <t>WS04-01-15.2</t>
  </si>
  <si>
    <t>Create Export Packing Credit Account</t>
  </si>
  <si>
    <t>WS04-01-15.3</t>
  </si>
  <si>
    <t>Sight Negotiation-Adjustment of EPC</t>
  </si>
  <si>
    <t>WS04-01-15.4</t>
  </si>
  <si>
    <t>Create Export Packing Credit Loan</t>
  </si>
  <si>
    <t>WS04-01-15.5</t>
  </si>
  <si>
    <t>Sight Negotiation-Adjustment of Loan</t>
  </si>
  <si>
    <t>.</t>
  </si>
  <si>
    <t>Inward Collection</t>
  </si>
  <si>
    <t>WS04-01-16</t>
  </si>
  <si>
    <t>Register Import Collection</t>
  </si>
  <si>
    <t>WS04-01-16.1</t>
  </si>
  <si>
    <t>Lodge Sight Documentry Collection</t>
  </si>
  <si>
    <t>WS04-01-16.2</t>
  </si>
  <si>
    <t>Lodge Usance (Tenor) Documentary Collection</t>
  </si>
  <si>
    <t>WS04-01-16.3</t>
  </si>
  <si>
    <t>Lodge Clean Collection</t>
  </si>
  <si>
    <t>WS04-01-16.4</t>
  </si>
  <si>
    <t>Amend Import Collection</t>
  </si>
  <si>
    <t>WS04-01-16.5</t>
  </si>
  <si>
    <t>Accept Import Collection</t>
  </si>
  <si>
    <t>WS04-01-16.6</t>
  </si>
  <si>
    <t>Payment of Inward Collection</t>
  </si>
  <si>
    <t>WS04-01-16.7</t>
  </si>
  <si>
    <t>Close Import Colletion / Non Payment</t>
  </si>
  <si>
    <t>Outward Collection</t>
  </si>
  <si>
    <t>WS04-01-17</t>
  </si>
  <si>
    <t>Register Export Collection</t>
  </si>
  <si>
    <t>WS04-01-17.1</t>
  </si>
  <si>
    <t>Define Direct Collection Range for Customers</t>
  </si>
  <si>
    <t>WS04-01-17.2</t>
  </si>
  <si>
    <t>Lodge Sight Docy Collection</t>
  </si>
  <si>
    <t>WS04-01-17.3</t>
  </si>
  <si>
    <t>Lodge Usance(Tenor) Documentary Collection</t>
  </si>
  <si>
    <t>WS04-01-17.4</t>
  </si>
  <si>
    <t>Lodge Clean Collections</t>
  </si>
  <si>
    <t>WS04-01-17.5</t>
  </si>
  <si>
    <t>Amend Outward Collection</t>
  </si>
  <si>
    <t>WS04-01-17.6</t>
  </si>
  <si>
    <t>Trace the Collection</t>
  </si>
  <si>
    <t>WS04-01-17.7</t>
  </si>
  <si>
    <t>Acceptance of Outward Collection</t>
  </si>
  <si>
    <t>WS04-01-17.8</t>
  </si>
  <si>
    <t>Payment of Outward Collection</t>
  </si>
  <si>
    <t>WS04-01-17.9</t>
  </si>
  <si>
    <t>Settle Purchase Collection</t>
  </si>
  <si>
    <t>WS04-01-17.10</t>
  </si>
  <si>
    <t>WS Ref</t>
  </si>
  <si>
    <t>Description</t>
  </si>
  <si>
    <t>Process Reference #</t>
  </si>
  <si>
    <t>Gap Number</t>
  </si>
  <si>
    <t>Workshop Date</t>
  </si>
  <si>
    <t>Contact person</t>
  </si>
  <si>
    <t>Raised by
(Department)</t>
  </si>
  <si>
    <t>MoSCoW Classification</t>
  </si>
  <si>
    <t>Gap Category</t>
  </si>
  <si>
    <t>Gap Type</t>
  </si>
  <si>
    <t>Requirement Type</t>
  </si>
  <si>
    <t>Gap Effort</t>
  </si>
  <si>
    <t>Man Days
(Estimate)</t>
  </si>
  <si>
    <t>Impact 
(Cost)</t>
  </si>
  <si>
    <t>Impact
(Time)</t>
  </si>
  <si>
    <t>Man Days
(New Estimate)</t>
  </si>
  <si>
    <t>Actions/ Comments</t>
  </si>
  <si>
    <t>SMB Availability</t>
  </si>
  <si>
    <t>Functional Classification</t>
  </si>
  <si>
    <t>Dropped In</t>
  </si>
  <si>
    <t>Dropped Date</t>
  </si>
  <si>
    <t>Separate Margin Account For Each Customer. - Customer.Account Enquiry to show customer non-checking acounts only for provision parking in Credit account</t>
  </si>
  <si>
    <t>WS04-01-01 to 07</t>
  </si>
  <si>
    <t>WS04-01-01.01</t>
  </si>
  <si>
    <t>Import LC Issuance</t>
  </si>
  <si>
    <t>Ahmed Adnan</t>
  </si>
  <si>
    <t>Bank Requirement</t>
  </si>
  <si>
    <t>Configuration</t>
  </si>
  <si>
    <t>New Requirement</t>
  </si>
  <si>
    <t>Medium</t>
  </si>
  <si>
    <t>WS04-02</t>
  </si>
  <si>
    <t>LCs to be bifurcated into Internal/Inland /LC Swift Option To Be Removed If Both Beneficiary And Applicant Are Bank Customer Then. 
The LC Types For Internal/Inland LCs Are:
Sight LC, Usance LC And Mixed Payment LCs.</t>
  </si>
  <si>
    <t>WS04-01-01 to 07
WS04-01-09.1 to 9</t>
  </si>
  <si>
    <t>WS04-01-01.02</t>
  </si>
  <si>
    <t>Import LC
Export LC</t>
  </si>
  <si>
    <t>High</t>
  </si>
  <si>
    <t>WS04-03</t>
  </si>
  <si>
    <t>Seperate Report/Enquiry For Internal/Inland LCs (Internal LCs)</t>
  </si>
  <si>
    <t>WS04-01-01.03</t>
  </si>
  <si>
    <t>WS04-04</t>
  </si>
  <si>
    <t>Local Field to be Added: 
*Beneficiary Country Field Required 
(Under The Beneficiary Field In Parties To LC Tab)</t>
  </si>
  <si>
    <t>WS04-05</t>
  </si>
  <si>
    <t xml:space="preserve">Enquiry For All Swift/Advices Messages for both;
Inward And Outward For Particular Transactions. 
</t>
  </si>
  <si>
    <t>WS04-01-01.04</t>
  </si>
  <si>
    <t>Import LC &amp; Drawings
Export LC &amp; Drawings
Inward Collection
Outward Collection</t>
  </si>
  <si>
    <t>WS04-06</t>
  </si>
  <si>
    <t>In Charges Tab "Charge Status Field" Only Charge Status 2: Collected And Charge Status 3: Charges Claimed To Show 
And Charge Status 15: Waived To Be Removed From The Drop Down Field.</t>
  </si>
  <si>
    <t>WS04-01-01.06</t>
  </si>
  <si>
    <t>Import LC
Export LC
Inward Collection
Outward Collection</t>
  </si>
  <si>
    <t>WS04-07</t>
  </si>
  <si>
    <t>Local Fields to be added: 
VESSEL NAME Field Required For Screening Purpose
CARRIER COMPANY Field Required For Screening Purpose 
AGENT Field Required For Screening Purpose
MANUFACTURER Field Required For Screening Purpose</t>
  </si>
  <si>
    <t>WS04-01-01.09</t>
  </si>
  <si>
    <t>Import LC Drawings
Export LC Drawings
Inward Collection
Outward Collection</t>
  </si>
  <si>
    <t>WS04-08</t>
  </si>
  <si>
    <t xml:space="preserve">Under Export Lodgement schedule;
Expiry Date Field to be added </t>
  </si>
  <si>
    <t>WS04-01-11.1 to 04
WS04-01-12.1 to 04
WS04-01-13.1 to 04
WS04-01-14.1 to 04</t>
  </si>
  <si>
    <t>WS04-01-01.12</t>
  </si>
  <si>
    <t>Export LC Drawings (Document Capture Stage)</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</si>
  <si>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</si>
  <si>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</si>
  <si>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</si>
  <si>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</si>
  <si>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</si>
  <si>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</si>
  <si>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</si>
  <si>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</si>
  <si>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</si>
  <si>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</si>
  <si>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</si>
  <si>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</si>
  <si>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</si>
  <si>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</si>
  <si>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</si>
  <si>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</si>
  <si>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</si>
  <si>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No Gap setup process</t>
  </si>
  <si>
    <t>Schedule of Charges</t>
  </si>
  <si>
    <t>SOC To shared with NDC for the Charges Setup</t>
  </si>
  <si>
    <t>Open</t>
  </si>
  <si>
    <t>Client</t>
  </si>
  <si>
    <t>LC Documents Codes</t>
  </si>
  <si>
    <t>Bank to Share the Description Of Goods Codes</t>
  </si>
  <si>
    <t>Import LC/Collection</t>
  </si>
  <si>
    <t>Narrative Required For Advices Available In Debit Advices</t>
  </si>
  <si>
    <t>Export LC/Collection</t>
  </si>
  <si>
    <t>LC and MD Modules On All Transaction Stages</t>
  </si>
  <si>
    <t>Authorization Levels: Input, Review And Authorize. Bank To Confirm</t>
  </si>
  <si>
    <t>MoSCoW</t>
  </si>
  <si>
    <t>Scoping Gaps</t>
  </si>
  <si>
    <r>
      <rPr>
        <b/>
        <sz val="11"/>
        <color theme="1"/>
        <rFont val="Calibri"/>
        <family val="2"/>
        <scheme val="minor"/>
      </rPr>
      <t>MUST</t>
    </r>
    <r>
      <rPr>
        <sz val="11"/>
        <color theme="1"/>
        <rFont val="Calibri"/>
        <family val="2"/>
        <scheme val="minor"/>
      </rPr>
      <t xml:space="preserve"> Have</t>
    </r>
  </si>
  <si>
    <t>Build IP</t>
  </si>
  <si>
    <t>Not Defined Yet</t>
  </si>
  <si>
    <r>
      <rPr>
        <b/>
        <sz val="11"/>
        <color theme="1"/>
        <rFont val="Calibri"/>
        <family val="2"/>
        <scheme val="minor"/>
      </rPr>
      <t>SHOULD</t>
    </r>
    <r>
      <rPr>
        <sz val="11"/>
        <color theme="1"/>
        <rFont val="Calibri"/>
        <family val="2"/>
        <scheme val="minor"/>
      </rPr>
      <t xml:space="preserve"> Have</t>
    </r>
  </si>
  <si>
    <t>Delivered</t>
  </si>
  <si>
    <t>Regulatory</t>
  </si>
  <si>
    <t>GAP Identified</t>
  </si>
  <si>
    <r>
      <rPr>
        <b/>
        <sz val="11"/>
        <color theme="1"/>
        <rFont val="Calibri"/>
        <family val="2"/>
        <scheme val="minor"/>
      </rPr>
      <t>COULD</t>
    </r>
    <r>
      <rPr>
        <sz val="11"/>
        <color theme="1"/>
        <rFont val="Calibri"/>
        <family val="2"/>
        <scheme val="minor"/>
      </rPr>
      <t xml:space="preserve"> Have</t>
    </r>
  </si>
  <si>
    <t>Other Country Requirement</t>
  </si>
  <si>
    <t>PMB</t>
  </si>
  <si>
    <r>
      <rPr>
        <b/>
        <sz val="11"/>
        <color theme="1"/>
        <rFont val="Calibri"/>
        <family val="2"/>
        <scheme val="minor"/>
      </rPr>
      <t>WON'T</t>
    </r>
    <r>
      <rPr>
        <sz val="11"/>
        <color theme="1"/>
        <rFont val="Calibri"/>
        <family val="2"/>
        <scheme val="minor"/>
      </rPr>
      <t xml:space="preserve"> Have</t>
    </r>
  </si>
  <si>
    <t>Moved to Other Stream</t>
  </si>
  <si>
    <t>Dropped</t>
  </si>
  <si>
    <t>GAP Identified PMB</t>
  </si>
  <si>
    <t>To be Discussed</t>
  </si>
  <si>
    <t>Effort</t>
  </si>
  <si>
    <t>PMB/Bank Requirement</t>
  </si>
  <si>
    <t>New Gaps</t>
  </si>
  <si>
    <t>Low</t>
  </si>
  <si>
    <t>Gap Status</t>
  </si>
  <si>
    <t>Duplicate</t>
  </si>
  <si>
    <t>In Progress</t>
  </si>
  <si>
    <t>Rejected</t>
  </si>
  <si>
    <t>Moved to Future Release</t>
  </si>
  <si>
    <t>Agreed</t>
  </si>
  <si>
    <t>Details Required</t>
  </si>
  <si>
    <t>Type</t>
  </si>
  <si>
    <t>Gap Priority</t>
  </si>
  <si>
    <t>Process Status</t>
  </si>
  <si>
    <t>Parameterisation</t>
  </si>
  <si>
    <t>Not Started</t>
  </si>
  <si>
    <t>Features List Requirement</t>
  </si>
  <si>
    <t>Customization</t>
  </si>
  <si>
    <t>BSD Required</t>
  </si>
  <si>
    <t>Core</t>
  </si>
  <si>
    <t>BSD Delivered</t>
  </si>
  <si>
    <t>Add of LOVs</t>
  </si>
  <si>
    <t>Deffered</t>
  </si>
  <si>
    <t>FSD Status</t>
  </si>
  <si>
    <t>Change Request</t>
  </si>
  <si>
    <t>Category (Follow Up)</t>
  </si>
  <si>
    <t>FSD Under Development</t>
  </si>
  <si>
    <t>Item Status</t>
  </si>
  <si>
    <t>Deliverables</t>
  </si>
  <si>
    <t>Follow Up Status</t>
  </si>
  <si>
    <t>FSD Review 1</t>
  </si>
  <si>
    <t>Critical</t>
  </si>
  <si>
    <t>Tech Decision</t>
  </si>
  <si>
    <t>FSD Review 2</t>
  </si>
  <si>
    <t>Needs Attention</t>
  </si>
  <si>
    <t>Business Decision</t>
  </si>
  <si>
    <t>Closed</t>
  </si>
  <si>
    <t>FSD Review 3</t>
  </si>
  <si>
    <t>On Track</t>
  </si>
  <si>
    <t>Extra Discussion</t>
  </si>
  <si>
    <t>Pending Sign-off</t>
  </si>
  <si>
    <t>BRD Status</t>
  </si>
  <si>
    <t>Signed-off</t>
  </si>
  <si>
    <t>Owner</t>
  </si>
  <si>
    <t>BRD Under Development</t>
  </si>
  <si>
    <t xml:space="preserve">BRD Review </t>
  </si>
  <si>
    <t>Workshop Attendance</t>
  </si>
  <si>
    <t>Priority 1</t>
  </si>
  <si>
    <t>NDC</t>
  </si>
  <si>
    <t>N/A</t>
  </si>
  <si>
    <t>Priority 2</t>
  </si>
  <si>
    <t>Yes</t>
  </si>
  <si>
    <t>Priority 3</t>
  </si>
  <si>
    <t>Dropped by Bank</t>
  </si>
  <si>
    <t>No</t>
  </si>
  <si>
    <t>RAG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</si>
</sst>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F800]dddd\,\ mmmm\ dd\,\ yyyy"/>
    <numFmt numFmtId="166" formatCode="0.0"/>
    <numFmt numFmtId="167" formatCode="[$-409]d\-mmm\-yyyy;@"/>
  </numFmts>
  <fonts count="2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sz val="10"/>
      <color theme="1"/>
      <name val="Calibri"/>
      <family val="2"/>
      <scheme val="minor"/>
    </font>
    <font>
      <u/>
      <sz val="11"/>
      <color theme="10"/>
      <name val="Calibri"/>
      <family val="2"/>
      <scheme val="minor"/>
    </font>
    <font>
      <sz val="11"/>
      <color theme="1"/>
      <name val="Calibri"/>
      <family val="2"/>
      <scheme val="minor"/>
    </font>
    <font>
      <sz val="9"/>
      <color theme="1"/>
      <name val="Calibri"/>
      <family val="2"/>
      <scheme val="minor"/>
    </font>
    <font>
      <sz val="9"/>
      <color rgb="FF000000"/>
      <name val="Tahoma"/>
      <family val="2"/>
    </font>
    <font>
      <b/>
      <sz val="12"/>
      <color theme="1"/>
      <name val="Calibri"/>
      <family val="2"/>
      <scheme val="minor"/>
    </font>
    <font>
      <sz val="12"/>
      <color theme="1"/>
      <name val="Calibri"/>
      <family val="2"/>
      <scheme val="minor"/>
    </font>
    <font>
      <b/>
      <sz val="16"/>
      <color theme="1"/>
      <name val="Calibri"/>
      <family val="2"/>
    </font>
    <font>
      <b/>
      <sz val="20"/>
      <color theme="1"/>
      <name val="Calibri"/>
      <family val="2"/>
    </font>
    <font>
      <sz val="16"/>
      <color theme="1"/>
      <name val="Calibri"/>
      <family val="2"/>
      <scheme val="minor"/>
    </font>
    <font>
      <b/>
      <u/>
      <sz val="16"/>
      <color theme="10"/>
      <name val="Calibri"/>
      <family val="2"/>
      <scheme val="minor"/>
    </font>
    <font>
      <b/>
      <sz val="11"/>
      <color rgb="FF0070C0"/>
      <name val="Calibri"/>
      <family val="2"/>
      <scheme val="minor"/>
    </font>
    <font>
      <b/>
      <sz val="14"/>
      <color theme="1"/>
      <name val="Calibri"/>
      <family val="2"/>
    </font>
    <font>
      <b/>
      <u/>
      <sz val="18"/>
      <name val="Calibri"/>
      <family val="2"/>
      <scheme val="minor"/>
    </font>
    <font>
      <b/>
      <u/>
      <sz val="16"/>
      <color theme="1"/>
      <name val="Calibri"/>
      <family val="2"/>
      <scheme val="minor"/>
    </font>
    <font>
      <u/>
      <sz val="16"/>
      <color theme="10"/>
      <name val="Calibri"/>
      <family val="2"/>
      <scheme val="minor"/>
    </font>
    <font>
      <b/>
      <sz val="18"/>
      <color theme="1"/>
      <name val="Calibri"/>
      <family val="2"/>
      <scheme val="minor"/>
    </font>
    <font>
      <sz val="10"/>
      <name val="Calibri"/>
      <family val="2"/>
      <scheme val="minor"/>
    </font>
    <font>
      <b/>
      <sz val="10"/>
      <color theme="1"/>
      <name val="Calibri"/>
      <family val="2"/>
      <scheme val="minor"/>
    </font>
  </fonts>
  <fills count="17">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92D400"/>
        <bgColor indexed="64"/>
      </patternFill>
    </fill>
    <fill>
      <patternFill patternType="solid">
        <fgColor rgb="FFFFC000"/>
        <bgColor indexed="64"/>
      </patternFill>
    </fill>
    <fill>
      <patternFill patternType="solid">
        <fgColor rgb="FFC000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1"/>
        <bgColor indexed="64"/>
      </patternFill>
    </fill>
    <fill>
      <patternFill patternType="solid">
        <fgColor theme="6" tint="-0.249977111117893"/>
        <bgColor indexed="64"/>
      </patternFill>
    </fill>
    <fill>
      <patternFill patternType="solid">
        <fgColor theme="4"/>
        <bgColor indexed="64"/>
      </patternFill>
    </fill>
    <fill>
      <patternFill patternType="solid">
        <fgColor rgb="FF00B050"/>
        <bgColor indexed="64"/>
      </patternFill>
    </fill>
  </fills>
  <borders count="8">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1" fillId="2" borderId="1" applyNumberFormat="0" applyAlignment="0" applyProtection="0"/>
    <xf numFmtId="165" fontId="9" fillId="0" borderId="0"/>
    <xf numFmtId="165" fontId="1" fillId="2" borderId="1" applyNumberFormat="0" applyAlignment="0" applyProtection="0"/>
    <xf numFmtId="165" fontId="8" fillId="0" borderId="0" applyNumberFormat="0" applyFill="0" applyBorder="0" applyAlignment="0" applyProtection="0"/>
  </cellStyleXfs>
  <cellXfs count="107">
    <xf numFmtId="0" fontId="0" fillId="0" borderId="0" xfId="0"/>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0" fillId="5" borderId="0" xfId="0" applyFill="1" applyAlignment="1">
      <alignment vertical="center" wrapText="1"/>
    </xf>
    <xf numFmtId="0" fontId="0" fillId="0" borderId="0" xfId="0" applyAlignment="1">
      <alignment vertical="center" wrapText="1"/>
    </xf>
    <xf numFmtId="1" fontId="0" fillId="0" borderId="2" xfId="0" applyNumberFormat="1" applyBorder="1" applyAlignment="1" applyProtection="1">
      <alignment horizontal="center" vertical="center"/>
      <protection locked="0"/>
    </xf>
    <xf numFmtId="15" fontId="0" fillId="0" borderId="3" xfId="0" applyNumberFormat="1" applyBorder="1" applyAlignment="1" applyProtection="1">
      <alignment horizontal="center" vertical="center" wrapText="1"/>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5" borderId="2" xfId="0" applyFill="1" applyBorder="1" applyAlignment="1" applyProtection="1">
      <alignment horizontal="center" vertical="center"/>
      <protection locked="0"/>
    </xf>
    <xf numFmtId="0" fontId="0" fillId="0" borderId="2" xfId="0" applyBorder="1" applyAlignment="1" applyProtection="1">
      <alignment horizontal="center" vertical="center" wrapText="1"/>
      <protection locked="0"/>
    </xf>
    <xf numFmtId="15" fontId="0" fillId="0" borderId="2" xfId="0" applyNumberFormat="1" applyBorder="1" applyAlignment="1" applyProtection="1">
      <alignment horizontal="left" vertical="center" wrapText="1"/>
      <protection locked="0"/>
    </xf>
    <xf numFmtId="1" fontId="5" fillId="4" borderId="2" xfId="0" applyNumberFormat="1" applyFont="1" applyFill="1" applyBorder="1" applyAlignment="1">
      <alignment horizontal="center" vertical="center"/>
    </xf>
    <xf numFmtId="0" fontId="2" fillId="6" borderId="2" xfId="0" applyFont="1" applyFill="1" applyBorder="1" applyAlignment="1">
      <alignment horizontal="center" vertical="center"/>
    </xf>
    <xf numFmtId="0" fontId="0" fillId="5" borderId="0" xfId="0" applyFill="1"/>
    <xf numFmtId="14" fontId="0" fillId="0" borderId="2" xfId="0" applyNumberFormat="1" applyBorder="1" applyAlignment="1" applyProtection="1">
      <alignment horizontal="center" vertical="center"/>
      <protection locked="0"/>
    </xf>
    <xf numFmtId="1" fontId="0" fillId="4" borderId="2" xfId="0" applyNumberFormat="1" applyFill="1" applyBorder="1" applyAlignment="1">
      <alignment horizontal="center" vertical="center"/>
    </xf>
    <xf numFmtId="0" fontId="0" fillId="5" borderId="2" xfId="0" applyFill="1" applyBorder="1" applyAlignment="1" applyProtection="1">
      <alignment horizontal="left" vertical="center" wrapText="1"/>
      <protection locked="0"/>
    </xf>
    <xf numFmtId="15" fontId="0" fillId="0" borderId="2" xfId="0" applyNumberFormat="1" applyBorder="1" applyAlignment="1" applyProtection="1">
      <alignment horizontal="center" vertical="center" wrapText="1"/>
      <protection locked="0"/>
    </xf>
    <xf numFmtId="0" fontId="0" fillId="4" borderId="0" xfId="0" applyFill="1" applyAlignment="1">
      <alignment horizontal="center" vertical="center"/>
    </xf>
    <xf numFmtId="0" fontId="0" fillId="5" borderId="0" xfId="0" applyFill="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1" fillId="3" borderId="0" xfId="0" applyFont="1" applyFill="1" applyAlignment="1">
      <alignment horizontal="center" vertical="center"/>
    </xf>
    <xf numFmtId="0" fontId="0" fillId="5" borderId="0" xfId="0" applyFill="1" applyAlignment="1">
      <alignment horizontal="center"/>
    </xf>
    <xf numFmtId="0" fontId="0" fillId="5" borderId="0" xfId="0" applyFill="1" applyAlignment="1">
      <alignment horizontal="center" vertical="center" wrapText="1"/>
    </xf>
    <xf numFmtId="0" fontId="0" fillId="0" borderId="0" xfId="0" applyAlignment="1">
      <alignment horizontal="center" vertic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1" fillId="3"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0" fillId="5" borderId="0" xfId="0" applyFill="1" applyAlignment="1">
      <alignment vertical="center"/>
    </xf>
    <xf numFmtId="0" fontId="0" fillId="0" borderId="0" xfId="0" applyAlignment="1">
      <alignment vertical="center"/>
    </xf>
    <xf numFmtId="0" fontId="5" fillId="0" borderId="2" xfId="0" applyFont="1" applyBorder="1" applyAlignment="1" applyProtection="1">
      <alignment horizontal="center" vertical="center" wrapText="1"/>
      <protection locked="0"/>
    </xf>
    <xf numFmtId="0" fontId="0" fillId="0" borderId="2" xfId="0" applyBorder="1" applyAlignment="1" applyProtection="1">
      <alignment vertical="center"/>
      <protection locked="0"/>
    </xf>
    <xf numFmtId="0" fontId="5" fillId="5" borderId="2" xfId="0" applyFont="1" applyFill="1" applyBorder="1" applyAlignment="1" applyProtection="1">
      <alignment horizontal="center" vertical="center" wrapText="1"/>
      <protection locked="0"/>
    </xf>
    <xf numFmtId="0" fontId="5" fillId="5" borderId="2" xfId="0" applyFont="1" applyFill="1" applyBorder="1" applyAlignment="1" applyProtection="1">
      <alignment vertical="center"/>
      <protection locked="0"/>
    </xf>
    <xf numFmtId="0" fontId="5" fillId="0" borderId="2" xfId="0" applyFont="1" applyBorder="1" applyAlignment="1" applyProtection="1">
      <alignment vertical="center"/>
      <protection locked="0"/>
    </xf>
    <xf numFmtId="0" fontId="0" fillId="0" borderId="0" xfId="0"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1" fillId="3" borderId="4" xfId="1" applyFill="1" applyBorder="1" applyAlignment="1" applyProtection="1">
      <alignment horizontal="center" vertical="center" wrapText="1"/>
    </xf>
    <xf numFmtId="0" fontId="1" fillId="3" borderId="5" xfId="1" applyFill="1" applyBorder="1" applyAlignment="1" applyProtection="1">
      <alignment horizontal="center" vertical="center" wrapText="1"/>
    </xf>
    <xf numFmtId="0" fontId="1" fillId="3" borderId="6" xfId="1" applyFill="1" applyBorder="1" applyAlignment="1" applyProtection="1">
      <alignment horizontal="center" vertical="center" wrapText="1"/>
    </xf>
    <xf numFmtId="0" fontId="1" fillId="3" borderId="3" xfId="1" applyFill="1" applyBorder="1" applyAlignment="1" applyProtection="1">
      <alignment horizontal="center" vertical="center" wrapText="1"/>
    </xf>
    <xf numFmtId="0" fontId="1" fillId="3" borderId="7" xfId="1" applyFill="1" applyBorder="1" applyAlignment="1" applyProtection="1">
      <alignment horizontal="center" vertical="center" wrapText="1"/>
    </xf>
    <xf numFmtId="0" fontId="3" fillId="5"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164" fontId="1" fillId="3" borderId="3" xfId="1" applyNumberFormat="1" applyFill="1" applyBorder="1" applyAlignment="1" applyProtection="1">
      <alignment horizontal="center" vertical="center" wrapText="1"/>
    </xf>
    <xf numFmtId="0" fontId="1" fillId="3" borderId="3" xfId="1" applyNumberFormat="1" applyFill="1" applyBorder="1" applyAlignment="1" applyProtection="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10" borderId="2" xfId="0" applyFill="1" applyBorder="1"/>
    <xf numFmtId="0" fontId="0" fillId="10" borderId="0" xfId="0" applyFill="1"/>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vertical="center"/>
    </xf>
    <xf numFmtId="0" fontId="12" fillId="0" borderId="2" xfId="0" applyFont="1" applyBorder="1" applyAlignment="1">
      <alignment vertical="center" wrapText="1"/>
    </xf>
    <xf numFmtId="0" fontId="14" fillId="11" borderId="2" xfId="0" applyFont="1" applyFill="1" applyBorder="1" applyAlignment="1" applyProtection="1">
      <alignment horizontal="center" vertical="center" wrapText="1"/>
      <protection locked="0"/>
    </xf>
    <xf numFmtId="0" fontId="15" fillId="11" borderId="2" xfId="0" applyFont="1" applyFill="1" applyBorder="1" applyAlignment="1" applyProtection="1">
      <alignment horizontal="center" vertical="center" wrapText="1"/>
      <protection locked="0"/>
    </xf>
    <xf numFmtId="165" fontId="16" fillId="0" borderId="2" xfId="2" applyFont="1" applyBorder="1" applyAlignment="1" applyProtection="1">
      <alignment horizontal="center" vertical="center" wrapText="1"/>
      <protection locked="0"/>
    </xf>
    <xf numFmtId="165" fontId="2" fillId="12" borderId="3" xfId="2" applyFont="1" applyFill="1" applyBorder="1" applyAlignment="1" applyProtection="1">
      <alignment horizontal="center" vertical="center" wrapText="1"/>
      <protection locked="0"/>
    </xf>
    <xf numFmtId="165" fontId="17" fillId="12" borderId="2" xfId="4" applyFont="1" applyFill="1" applyBorder="1" applyAlignment="1">
      <alignment horizontal="left" vertical="center" wrapText="1" indent="1"/>
    </xf>
    <xf numFmtId="165" fontId="9" fillId="0" borderId="2" xfId="2" applyBorder="1" applyAlignment="1" applyProtection="1">
      <alignment horizontal="center" vertical="center" wrapText="1"/>
      <protection locked="0"/>
    </xf>
    <xf numFmtId="165" fontId="9" fillId="0" borderId="3" xfId="2" applyBorder="1" applyAlignment="1" applyProtection="1">
      <alignment horizontal="center" vertical="center" wrapText="1"/>
      <protection locked="0"/>
    </xf>
    <xf numFmtId="165" fontId="18" fillId="0" borderId="2" xfId="2" applyFont="1" applyBorder="1" applyAlignment="1">
      <alignment horizontal="left" vertical="center"/>
    </xf>
    <xf numFmtId="165" fontId="18" fillId="0" borderId="2" xfId="2" applyFont="1" applyBorder="1" applyAlignment="1">
      <alignment vertical="center"/>
    </xf>
    <xf numFmtId="15" fontId="0" fillId="0" borderId="3" xfId="2" applyNumberFormat="1" applyFont="1" applyBorder="1" applyAlignment="1" applyProtection="1">
      <alignment horizontal="center" vertical="center" wrapText="1"/>
      <protection locked="0"/>
    </xf>
    <xf numFmtId="165" fontId="2" fillId="0" borderId="3" xfId="2" applyFont="1" applyBorder="1" applyAlignment="1" applyProtection="1">
      <alignment horizontal="center" vertical="center" wrapText="1"/>
      <protection locked="0"/>
    </xf>
    <xf numFmtId="165" fontId="17" fillId="0" borderId="2" xfId="4" applyFont="1" applyFill="1" applyBorder="1" applyAlignment="1">
      <alignment horizontal="left" vertical="center" wrapText="1" indent="1"/>
    </xf>
    <xf numFmtId="165" fontId="8" fillId="13" borderId="2" xfId="4" applyFill="1" applyBorder="1" applyAlignment="1">
      <alignment horizontal="left" vertical="center" indent="1"/>
    </xf>
    <xf numFmtId="165" fontId="9" fillId="13" borderId="2" xfId="2" applyFill="1" applyBorder="1" applyAlignment="1" applyProtection="1">
      <alignment horizontal="center" vertical="center" wrapText="1"/>
      <protection locked="0"/>
    </xf>
    <xf numFmtId="165" fontId="19" fillId="14" borderId="2" xfId="2" applyFont="1" applyFill="1" applyBorder="1" applyAlignment="1" applyProtection="1">
      <alignment horizontal="center" vertical="center" wrapText="1"/>
      <protection locked="0"/>
    </xf>
    <xf numFmtId="165" fontId="20" fillId="14" borderId="2" xfId="4" applyFont="1" applyFill="1" applyBorder="1" applyAlignment="1" applyProtection="1">
      <alignment vertical="center" wrapText="1"/>
      <protection locked="0"/>
    </xf>
    <xf numFmtId="165" fontId="8" fillId="0" borderId="2" xfId="4" applyBorder="1" applyAlignment="1">
      <alignment horizontal="left" vertical="center" wrapText="1" indent="1"/>
    </xf>
    <xf numFmtId="165" fontId="21" fillId="14" borderId="2" xfId="4" applyFont="1" applyFill="1" applyBorder="1" applyAlignment="1" applyProtection="1">
      <alignment vertical="center" wrapText="1"/>
      <protection locked="0"/>
    </xf>
    <xf numFmtId="165" fontId="22" fillId="12" borderId="2" xfId="4" applyFont="1" applyFill="1" applyBorder="1" applyAlignment="1">
      <alignment horizontal="left" vertical="center" wrapText="1" indent="1"/>
    </xf>
    <xf numFmtId="165" fontId="9" fillId="5" borderId="3" xfId="2" applyFill="1" applyBorder="1" applyAlignment="1" applyProtection="1">
      <alignment horizontal="center" vertical="center" wrapText="1"/>
      <protection locked="0"/>
    </xf>
    <xf numFmtId="165" fontId="18" fillId="5" borderId="2" xfId="2" applyFont="1" applyFill="1" applyBorder="1" applyAlignment="1">
      <alignment horizontal="left" vertical="center"/>
    </xf>
    <xf numFmtId="165" fontId="9" fillId="5" borderId="2" xfId="2" applyFill="1" applyBorder="1" applyAlignment="1" applyProtection="1">
      <alignment horizontal="center" vertical="center" wrapText="1"/>
      <protection locked="0"/>
    </xf>
    <xf numFmtId="0" fontId="0" fillId="5" borderId="2" xfId="0" applyFill="1" applyBorder="1"/>
    <xf numFmtId="0" fontId="23" fillId="10" borderId="2" xfId="0" applyFont="1" applyFill="1" applyBorder="1" applyAlignment="1">
      <alignment horizontal="center"/>
    </xf>
    <xf numFmtId="0" fontId="5" fillId="0" borderId="0" xfId="0" applyFont="1"/>
    <xf numFmtId="0" fontId="3" fillId="15" borderId="2" xfId="0" applyFont="1" applyFill="1" applyBorder="1" applyAlignment="1">
      <alignment horizontal="center" vertical="center"/>
    </xf>
    <xf numFmtId="0" fontId="3" fillId="15" borderId="2" xfId="0" applyFont="1" applyFill="1" applyBorder="1" applyAlignment="1">
      <alignment horizontal="center" vertical="center" wrapText="1"/>
    </xf>
    <xf numFmtId="166" fontId="0" fillId="0" borderId="2" xfId="0" applyNumberFormat="1" applyBorder="1" applyAlignment="1">
      <alignment horizontal="center" vertical="center"/>
    </xf>
    <xf numFmtId="167" fontId="0" fillId="0" borderId="2" xfId="0" applyNumberFormat="1" applyBorder="1" applyAlignment="1">
      <alignment horizontal="center" vertical="center"/>
    </xf>
    <xf numFmtId="0" fontId="0" fillId="0" borderId="2" xfId="0" applyBorder="1" applyAlignment="1">
      <alignment vertical="center" wrapText="1"/>
    </xf>
    <xf numFmtId="0" fontId="0" fillId="0" borderId="2" xfId="0" applyBorder="1" applyAlignment="1">
      <alignment horizontal="left" vertical="center" wrapText="1"/>
    </xf>
    <xf numFmtId="0" fontId="13" fillId="0" borderId="2" xfId="0" applyFont="1" applyBorder="1" applyAlignment="1" applyProtection="1">
      <alignment horizontal="center" vertical="center" wrapText="1"/>
      <protection locked="0"/>
    </xf>
    <xf numFmtId="0" fontId="0" fillId="10" borderId="2" xfId="0" applyFill="1" applyBorder="1" applyAlignment="1">
      <alignment horizontal="center"/>
    </xf>
    <xf numFmtId="0" fontId="0" fillId="0" borderId="2" xfId="0" applyBorder="1" applyAlignment="1">
      <alignment horizontal="center"/>
    </xf>
    <xf numFmtId="0" fontId="0" fillId="0" borderId="0" xfId="0" applyAlignment="1">
      <alignment horizontal="center"/>
    </xf>
    <xf numFmtId="165" fontId="0" fillId="0" borderId="3" xfId="2" applyFont="1" applyBorder="1" applyAlignment="1" applyProtection="1">
      <alignment horizontal="center" vertical="center" wrapText="1"/>
      <protection locked="0"/>
    </xf>
    <xf numFmtId="0" fontId="0" fillId="5" borderId="2" xfId="0" applyFill="1" applyBorder="1" applyAlignment="1">
      <alignment vertical="center"/>
    </xf>
    <xf numFmtId="0" fontId="0" fillId="0" borderId="2" xfId="0" applyBorder="1" applyAlignment="1">
      <alignment vertical="center"/>
    </xf>
    <xf numFmtId="0" fontId="24" fillId="0" borderId="2" xfId="0" applyFont="1" applyBorder="1" applyAlignment="1" applyProtection="1">
      <alignment horizontal="center" vertical="center" wrapText="1"/>
      <protection locked="0"/>
    </xf>
    <xf numFmtId="0" fontId="0" fillId="0" borderId="2" xfId="0" applyBorder="1" applyAlignment="1">
      <alignment wrapText="1" shrinkToFit="1"/>
    </xf>
    <xf numFmtId="0" fontId="0" fillId="0" borderId="2" xfId="0" applyBorder="1" applyAlignment="1" applyProtection="1">
      <alignment horizontal="center" vertical="center" wrapText="1" shrinkToFit="1"/>
      <protection locked="0"/>
    </xf>
    <xf numFmtId="0" fontId="2" fillId="4" borderId="2" xfId="0" applyFont="1" applyFill="1" applyBorder="1" applyAlignment="1">
      <alignment horizontal="center" wrapText="1" shrinkToFit="1"/>
    </xf>
    <xf numFmtId="0" fontId="0" fillId="0" borderId="2" xfId="0" applyBorder="1" applyAlignment="1">
      <alignment horizontal="center" vertical="center" wrapText="1"/>
    </xf>
    <xf numFmtId="0" fontId="7" fillId="4" borderId="2" xfId="0" applyFont="1" applyFill="1" applyBorder="1" applyAlignment="1" applyProtection="1">
      <alignment horizontal="left" vertical="center" wrapText="1"/>
      <protection locked="0"/>
    </xf>
    <xf numFmtId="0" fontId="7" fillId="16" borderId="2" xfId="0" applyFont="1" applyFill="1" applyBorder="1" applyAlignment="1" applyProtection="1">
      <alignment horizontal="left" vertical="center" wrapText="1"/>
      <protection locked="0"/>
    </xf>
    <xf numFmtId="0" fontId="25" fillId="16" borderId="2" xfId="0" applyFont="1" applyFill="1" applyBorder="1" applyAlignment="1" applyProtection="1">
      <alignment horizontal="left" vertical="center" wrapText="1"/>
      <protection locked="0"/>
    </xf>
  </cellXfs>
  <cellStyles count="5">
    <cellStyle name="Check Cell" xfId="1" builtinId="23"/>
    <cellStyle name="Check Cell 2" xfId="3" xr:uid="{00000000-0005-0000-0000-000001000000}"/>
    <cellStyle name="Hyperlink 2" xfId="4" xr:uid="{00000000-0005-0000-0000-000002000000}"/>
    <cellStyle name="Normal" xfId="0" builtinId="0"/>
    <cellStyle name="Normal 2" xfId="2" xr:uid="{00000000-0005-0000-0000-000004000000}"/>
  </cellStyles>
  <dxfs count="8">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25977</xdr:colOff>
      <xdr:row>1</xdr:row>
      <xdr:rowOff>112569</xdr:rowOff>
    </xdr:from>
    <xdr:to>
      <xdr:col>1</xdr:col>
      <xdr:colOff>702252</xdr:colOff>
      <xdr:row>4</xdr:row>
      <xdr:rowOff>64944</xdr:rowOff>
    </xdr:to>
    <xdr:pic>
      <xdr:nvPicPr>
        <xdr:cNvPr id="2" name="Picture 1" descr="cid:image001.png@01D40ECF.89A4E01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577" y="303069"/>
          <a:ext cx="676275" cy="523875"/>
        </a:xfrm>
        <a:prstGeom prst="rect">
          <a:avLst/>
        </a:prstGeom>
        <a:noFill/>
        <a:ln>
          <a:noFill/>
        </a:ln>
      </xdr:spPr>
    </xdr:pic>
    <xdr:clientData/>
  </xdr:twoCellAnchor>
  <xdr:twoCellAnchor editAs="oneCell">
    <xdr:from>
      <xdr:col>3</xdr:col>
      <xdr:colOff>254577</xdr:colOff>
      <xdr:row>2</xdr:row>
      <xdr:rowOff>7794</xdr:rowOff>
    </xdr:from>
    <xdr:to>
      <xdr:col>4</xdr:col>
      <xdr:colOff>412224</xdr:colOff>
      <xdr:row>3</xdr:row>
      <xdr:rowOff>179244</xdr:rowOff>
    </xdr:to>
    <xdr:pic>
      <xdr:nvPicPr>
        <xdr:cNvPr id="3" name="Picture 2">
          <a:extLst>
            <a:ext uri="{FF2B5EF4-FFF2-40B4-BE49-F238E27FC236}">
              <a16:creationId xmlns:a16="http://schemas.microsoft.com/office/drawing/2014/main" id="{4F5A2444-FACA-4621-BAAE-CC5341468C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54927" y="388794"/>
          <a:ext cx="1500672" cy="361950"/>
        </a:xfrm>
        <a:prstGeom prst="rect">
          <a:avLst/>
        </a:prstGeom>
      </xdr:spPr>
    </xdr:pic>
    <xdr:clientData/>
  </xdr:twoCellAnchor>
  <xdr:twoCellAnchor editAs="oneCell">
    <xdr:from>
      <xdr:col>5</xdr:col>
      <xdr:colOff>9525</xdr:colOff>
      <xdr:row>0</xdr:row>
      <xdr:rowOff>152400</xdr:rowOff>
    </xdr:from>
    <xdr:to>
      <xdr:col>6</xdr:col>
      <xdr:colOff>757502</xdr:colOff>
      <xdr:row>4</xdr:row>
      <xdr:rowOff>161924</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86425" y="152400"/>
          <a:ext cx="2167202" cy="771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104775</xdr:colOff>
      <xdr:row>1</xdr:row>
      <xdr:rowOff>28575</xdr:rowOff>
    </xdr:from>
    <xdr:to>
      <xdr:col>2</xdr:col>
      <xdr:colOff>781050</xdr:colOff>
      <xdr:row>3</xdr:row>
      <xdr:rowOff>171450</xdr:rowOff>
    </xdr:to>
    <xdr:pic>
      <xdr:nvPicPr>
        <xdr:cNvPr id="2" name="Picture 1" descr="cid:image001.png@01D40ECF.89A4E01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0" y="219075"/>
          <a:ext cx="676275" cy="523875"/>
        </a:xfrm>
        <a:prstGeom prst="rect">
          <a:avLst/>
        </a:prstGeom>
        <a:noFill/>
        <a:ln>
          <a:noFill/>
        </a:ln>
      </xdr:spPr>
    </xdr:pic>
    <xdr:clientData/>
  </xdr:twoCellAnchor>
  <xdr:twoCellAnchor editAs="oneCell">
    <xdr:from>
      <xdr:col>4</xdr:col>
      <xdr:colOff>571500</xdr:colOff>
      <xdr:row>1</xdr:row>
      <xdr:rowOff>114300</xdr:rowOff>
    </xdr:from>
    <xdr:to>
      <xdr:col>5</xdr:col>
      <xdr:colOff>880681</xdr:colOff>
      <xdr:row>3</xdr:row>
      <xdr:rowOff>95250</xdr:rowOff>
    </xdr:to>
    <xdr:pic>
      <xdr:nvPicPr>
        <xdr:cNvPr id="3" name="Picture 2">
          <a:extLst>
            <a:ext uri="{FF2B5EF4-FFF2-40B4-BE49-F238E27FC236}">
              <a16:creationId xmlns:a16="http://schemas.microsoft.com/office/drawing/2014/main" id="{4F5A2444-FACA-4621-BAAE-CC5341468C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33850" y="304800"/>
          <a:ext cx="1499806" cy="361950"/>
        </a:xfrm>
        <a:prstGeom prst="rect">
          <a:avLst/>
        </a:prstGeom>
      </xdr:spPr>
    </xdr:pic>
    <xdr:clientData/>
  </xdr:twoCellAnchor>
  <xdr:twoCellAnchor editAs="oneCell">
    <xdr:from>
      <xdr:col>7</xdr:col>
      <xdr:colOff>985573</xdr:colOff>
      <xdr:row>1</xdr:row>
      <xdr:rowOff>9525</xdr:rowOff>
    </xdr:from>
    <xdr:to>
      <xdr:col>8</xdr:col>
      <xdr:colOff>1514475</xdr:colOff>
      <xdr:row>5</xdr:row>
      <xdr:rowOff>19049</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81698" y="200025"/>
          <a:ext cx="2167202" cy="7715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SAMBA\2.SAMBA_Analysis\BPR\20160115%20-%20Consolidated%20Gap%20Sheet\BPR%20Sheets\WS01-01-Samba_Customer_BPR_Reference_Sheet%20Final%20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T15337AG/WS01-02-BANK_Customer_BPR_Reference_Sheet.V1%20(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NDC%20-%20Projects\Trade%20-%20Exim%20Bank\BPR%20Sheets\EXIM\WS04-TF(LC)_EXIM_BPR_Reference_Sheet_V.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xilligencepvtltd.sharepoint.com/sites/GETeam/Shared%20Documents/TBI/TBI%20fuctional%20Document/TBI-FSD/TBI-FSD/Guarantees%20BPR%20Reference%20Sheet-%20NB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Sheet1"/>
      <sheetName val="Sheet2"/>
      <sheetName val="Sheet3"/>
    </sheetNames>
    <sheetDataSet>
      <sheetData sheetId="0">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
        <row r="3">
          <cell r="B3" t="str">
            <v>MUST Have</v>
          </cell>
        </row>
      </sheetData>
      <sheetData sheetId="2">
        <row r="3">
          <cell r="B3" t="str">
            <v>MUST Have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BRD DOC Details"/>
      <sheetName val="KPI Source 1"/>
      <sheetName val="KPI Source 2"/>
      <sheetName val="New Gaps"/>
      <sheetName val="Followup Sheet"/>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Version History"/>
      <sheetName val="Products"/>
      <sheetName val="Processes"/>
      <sheetName val="Scoping Gaps"/>
      <sheetName val="Followup Sheet"/>
      <sheetName val="Legend"/>
    </sheetNames>
    <sheetDataSet>
      <sheetData sheetId="0"/>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G20" totalsRowShown="0" headerRowDxfId="7" dataDxfId="6">
  <autoFilter ref="B7:G20" xr:uid="{00000000-0009-0000-0100-000001000000}"/>
  <tableColumns count="6">
    <tableColumn id="1" xr3:uid="{00000000-0010-0000-0000-000001000000}" name="#" dataDxfId="5"/>
    <tableColumn id="2" xr3:uid="{00000000-0010-0000-0000-000002000000}" name="Name" dataDxfId="4"/>
    <tableColumn id="3" xr3:uid="{00000000-0010-0000-0000-000003000000}" name="Role" dataDxfId="3"/>
    <tableColumn id="4" xr3:uid="{00000000-0010-0000-0000-000004000000}" name="Company" dataDxfId="2"/>
    <tableColumn id="5" xr3:uid="{00000000-0010-0000-0000-000005000000}" name="Signature" dataDxfId="1"/>
    <tableColumn id="6" xr3:uid="{00000000-0010-0000-0000-000006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6" Type="http://schemas.openxmlformats.org/officeDocument/2006/relationships/hyperlink" Target="javascript:void(0)" TargetMode="External"/><Relationship Id="rId21" Type="http://schemas.openxmlformats.org/officeDocument/2006/relationships/hyperlink" Target="javascript:void(0)" TargetMode="External"/><Relationship Id="rId42" Type="http://schemas.openxmlformats.org/officeDocument/2006/relationships/hyperlink" Target="javascript:void(0)" TargetMode="External"/><Relationship Id="rId47" Type="http://schemas.openxmlformats.org/officeDocument/2006/relationships/hyperlink" Target="javascript:void(0)" TargetMode="External"/><Relationship Id="rId63" Type="http://schemas.openxmlformats.org/officeDocument/2006/relationships/hyperlink" Target="javascript:void(0)" TargetMode="External"/><Relationship Id="rId68" Type="http://schemas.openxmlformats.org/officeDocument/2006/relationships/hyperlink" Target="javascript:void(0)" TargetMode="External"/><Relationship Id="rId84" Type="http://schemas.openxmlformats.org/officeDocument/2006/relationships/hyperlink" Target="javascript:void(0)" TargetMode="External"/><Relationship Id="rId89" Type="http://schemas.openxmlformats.org/officeDocument/2006/relationships/printerSettings" Target="../printerSettings/printerSettings2.bin"/><Relationship Id="rId16"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Import%20LC/Create%20Loan%20for%20Import%20Payment.htm" TargetMode="External"/><Relationship Id="rId11"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Samba-BPR/R15AMR_CD_V1/Subsystems/R15%20CMB/Content/Corporate%20MB/Processes/Export%20LC/Export%20Drawings%20Discounted,Negotiated.htm" TargetMode="External"/><Relationship Id="rId32" Type="http://schemas.openxmlformats.org/officeDocument/2006/relationships/hyperlink" Target="javascript:void(0)" TargetMode="External"/><Relationship Id="rId37" Type="http://schemas.openxmlformats.org/officeDocument/2006/relationships/hyperlink" Target="javascript:void(0)" TargetMode="External"/><Relationship Id="rId53" Type="http://schemas.openxmlformats.org/officeDocument/2006/relationships/hyperlink" Target="javascript:void(0)" TargetMode="External"/><Relationship Id="rId58" Type="http://schemas.openxmlformats.org/officeDocument/2006/relationships/hyperlink" Target="javascript:void(0)" TargetMode="External"/><Relationship Id="rId74" Type="http://schemas.openxmlformats.org/officeDocument/2006/relationships/hyperlink" Target="javascript:void(0)" TargetMode="External"/><Relationship Id="rId79" Type="http://schemas.openxmlformats.org/officeDocument/2006/relationships/hyperlink" Target="javascript:void(0)" TargetMode="External"/><Relationship Id="rId5"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Import%20LC/Import%20Drawings%20Relesed%20Under%20Trust.htm" TargetMode="External"/><Relationship Id="rId14"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Samba-BPR/R15AMR_CD_V1/Subsystems/R15%20CMB/Content/Corporate%20MB/Processes/Outward%20Collections/Register%20Export%20Collection.htm" TargetMode="External"/><Relationship Id="rId22" Type="http://schemas.openxmlformats.org/officeDocument/2006/relationships/hyperlink" Target="javascript:void(0)" TargetMode="External"/><Relationship Id="rId27" Type="http://schemas.openxmlformats.org/officeDocument/2006/relationships/hyperlink" Target="javascript:void(0)" TargetMode="External"/><Relationship Id="rId30" Type="http://schemas.openxmlformats.org/officeDocument/2006/relationships/hyperlink" Target="javascript:void(0)" TargetMode="External"/><Relationship Id="rId35" Type="http://schemas.openxmlformats.org/officeDocument/2006/relationships/hyperlink" Target="javascript:void(0)" TargetMode="External"/><Relationship Id="rId43" Type="http://schemas.openxmlformats.org/officeDocument/2006/relationships/hyperlink" Target="javascript:void(0)" TargetMode="External"/><Relationship Id="rId48" Type="http://schemas.openxmlformats.org/officeDocument/2006/relationships/hyperlink" Target="javascript:void(0)" TargetMode="External"/><Relationship Id="rId56" Type="http://schemas.openxmlformats.org/officeDocument/2006/relationships/hyperlink" Target="javascript:void(0)" TargetMode="External"/><Relationship Id="rId64" Type="http://schemas.openxmlformats.org/officeDocument/2006/relationships/hyperlink" Target="javascript:void(0)" TargetMode="External"/><Relationship Id="rId69" Type="http://schemas.openxmlformats.org/officeDocument/2006/relationships/hyperlink" Target="javascript:void(0)" TargetMode="External"/><Relationship Id="rId77" Type="http://schemas.openxmlformats.org/officeDocument/2006/relationships/hyperlink" Target="javascript:void(0)" TargetMode="External"/><Relationship Id="rId8"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Export%20LC/Export%20Drawings(Clean).htm" TargetMode="External"/><Relationship Id="rId51" Type="http://schemas.openxmlformats.org/officeDocument/2006/relationships/hyperlink" Target="javascript:void(0)" TargetMode="External"/><Relationship Id="rId72" Type="http://schemas.openxmlformats.org/officeDocument/2006/relationships/hyperlink" Target="javascript:void(0)" TargetMode="External"/><Relationship Id="rId80" Type="http://schemas.openxmlformats.org/officeDocument/2006/relationships/hyperlink" Target="javascript:void(0)" TargetMode="External"/><Relationship Id="rId85" Type="http://schemas.openxmlformats.org/officeDocument/2006/relationships/hyperlink" Target="javascript:void(0)" TargetMode="External"/><Relationship Id="rId3"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Import%20LC/Import%20Drawings(clean).htm" TargetMode="External"/><Relationship Id="rId12"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Samba-BPR/R15AMR_CD_V1/Subsystems/R15%20CMB/Content/Corporate%20MB/Processes/Export%20LC/Export%20Loan%20and%20Adjustment%20from%20Bill%20Proceeds.htm" TargetMode="External"/><Relationship Id="rId17"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Import%20LC/Discounting%20of%20Usance%20Bills(Imports).htm" TargetMode="External"/><Relationship Id="rId25" Type="http://schemas.openxmlformats.org/officeDocument/2006/relationships/hyperlink" Target="javascript:void(0)" TargetMode="External"/><Relationship Id="rId33" Type="http://schemas.openxmlformats.org/officeDocument/2006/relationships/hyperlink" Target="javascript:void(0)" TargetMode="External"/><Relationship Id="rId38" Type="http://schemas.openxmlformats.org/officeDocument/2006/relationships/hyperlink" Target="javascript:void(0)" TargetMode="External"/><Relationship Id="rId46" Type="http://schemas.openxmlformats.org/officeDocument/2006/relationships/hyperlink" Target="javascript:void(0)" TargetMode="External"/><Relationship Id="rId59" Type="http://schemas.openxmlformats.org/officeDocument/2006/relationships/hyperlink" Target="javascript:void(0)" TargetMode="External"/><Relationship Id="rId67" Type="http://schemas.openxmlformats.org/officeDocument/2006/relationships/hyperlink" Target="javascript:void(0)" TargetMode="External"/><Relationship Id="rId20"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Samba-BPR/R15AMR_CD_V1/Subsystems/R15%20CMB/Content/Corporate%20MB/Processes/Inward%20Collections.htm" TargetMode="External"/><Relationship Id="rId41" Type="http://schemas.openxmlformats.org/officeDocument/2006/relationships/hyperlink" Target="javascript:void(0)" TargetMode="External"/><Relationship Id="rId54" Type="http://schemas.openxmlformats.org/officeDocument/2006/relationships/hyperlink" Target="javascript:void(0)" TargetMode="External"/><Relationship Id="rId62" Type="http://schemas.openxmlformats.org/officeDocument/2006/relationships/hyperlink" Target="javascript:void(0)" TargetMode="External"/><Relationship Id="rId70" Type="http://schemas.openxmlformats.org/officeDocument/2006/relationships/hyperlink" Target="javascript:void(0)" TargetMode="External"/><Relationship Id="rId75" Type="http://schemas.openxmlformats.org/officeDocument/2006/relationships/hyperlink" Target="javascript:void(0)" TargetMode="External"/><Relationship Id="rId83" Type="http://schemas.openxmlformats.org/officeDocument/2006/relationships/hyperlink" Target="javascript:void(0)" TargetMode="External"/><Relationship Id="rId88" Type="http://schemas.openxmlformats.org/officeDocument/2006/relationships/hyperlink" Target="javascript:void(0)" TargetMode="External"/><Relationship Id="rId1"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Import%20LC/Issue%20Import%20LC.htm" TargetMode="External"/><Relationship Id="rId6"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Export%20LC/Advice%20Export%20LCs.htm" TargetMode="External"/><Relationship Id="rId15"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Import%20LC/Sight%20Payment%20under%20import%20LC%20(with%20Finance).htm" TargetMode="External"/><Relationship Id="rId23" Type="http://schemas.openxmlformats.org/officeDocument/2006/relationships/hyperlink" Target="javascript:void(0)" TargetMode="External"/><Relationship Id="rId28" Type="http://schemas.openxmlformats.org/officeDocument/2006/relationships/hyperlink" Target="javascript:void(0)" TargetMode="External"/><Relationship Id="rId36" Type="http://schemas.openxmlformats.org/officeDocument/2006/relationships/hyperlink" Target="javascript:void(0)" TargetMode="External"/><Relationship Id="rId49" Type="http://schemas.openxmlformats.org/officeDocument/2006/relationships/hyperlink" Target="javascript:void(0)" TargetMode="External"/><Relationship Id="rId57" Type="http://schemas.openxmlformats.org/officeDocument/2006/relationships/hyperlink" Target="javascript:void(0)" TargetMode="External"/><Relationship Id="rId10"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Samba-BPR/R15AMR_CD_V1/Subsystems/R15%20CMB/Content/Corporate%20MB/Processes/Export%20LC/Export%20Drawings%20Under%20Reserve.htm" TargetMode="External"/><Relationship Id="rId31" Type="http://schemas.openxmlformats.org/officeDocument/2006/relationships/hyperlink" Target="javascript:void(0)" TargetMode="External"/><Relationship Id="rId44" Type="http://schemas.openxmlformats.org/officeDocument/2006/relationships/hyperlink" Target="javascript:void(0)" TargetMode="External"/><Relationship Id="rId52" Type="http://schemas.openxmlformats.org/officeDocument/2006/relationships/hyperlink" Target="javascript:void(0)" TargetMode="External"/><Relationship Id="rId60" Type="http://schemas.openxmlformats.org/officeDocument/2006/relationships/hyperlink" Target="javascript:void(0)" TargetMode="External"/><Relationship Id="rId65" Type="http://schemas.openxmlformats.org/officeDocument/2006/relationships/hyperlink" Target="javascript:void(0)" TargetMode="External"/><Relationship Id="rId73" Type="http://schemas.openxmlformats.org/officeDocument/2006/relationships/hyperlink" Target="javascript:void(0)" TargetMode="External"/><Relationship Id="rId78" Type="http://schemas.openxmlformats.org/officeDocument/2006/relationships/hyperlink" Target="javascript:void(0)" TargetMode="External"/><Relationship Id="rId81" Type="http://schemas.openxmlformats.org/officeDocument/2006/relationships/hyperlink" Target="javascript:void(0)" TargetMode="External"/><Relationship Id="rId86" Type="http://schemas.openxmlformats.org/officeDocument/2006/relationships/hyperlink" Target="javascript:void(0)" TargetMode="External"/><Relationship Id="rId4"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Import%20LC/Import%20Drawings%20(Discrepant).htm" TargetMode="External"/><Relationship Id="rId9"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Export%20LC/Export%20Drawings(Discrepant).htm" TargetMode="External"/><Relationship Id="rId13"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Samba-BPR/R15AMR_CD_V1/Subsystems/R15%20CMB/Content/Corporate%20MB/Processes/Inward%20Collections/Register%20Import%20Collection.htm" TargetMode="External"/><Relationship Id="rId18"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Export%20LC.htm" TargetMode="External"/><Relationship Id="rId39" Type="http://schemas.openxmlformats.org/officeDocument/2006/relationships/hyperlink" Target="javascript:void(0)" TargetMode="External"/><Relationship Id="rId34" Type="http://schemas.openxmlformats.org/officeDocument/2006/relationships/hyperlink" Target="javascript:void(0)" TargetMode="External"/><Relationship Id="rId50" Type="http://schemas.openxmlformats.org/officeDocument/2006/relationships/hyperlink" Target="javascript:void(0)" TargetMode="External"/><Relationship Id="rId55" Type="http://schemas.openxmlformats.org/officeDocument/2006/relationships/hyperlink" Target="javascript:void(0)" TargetMode="External"/><Relationship Id="rId76" Type="http://schemas.openxmlformats.org/officeDocument/2006/relationships/hyperlink" Target="javascript:void(0)" TargetMode="External"/><Relationship Id="rId7"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Export%20LC/Amend%20Export%20LCs.htm" TargetMode="External"/><Relationship Id="rId71" Type="http://schemas.openxmlformats.org/officeDocument/2006/relationships/hyperlink" Target="javascript:void(0)" TargetMode="External"/><Relationship Id="rId2"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AppData/Local/Temp/Rar$DI31.552/R15AMR_CD_V1/Subsystems/R15%20CMB/Content/Corporate%20MB/Processes/Import%20LC/Maintenance%20of%20Imports%20LCs.htm" TargetMode="External"/><Relationship Id="rId29" Type="http://schemas.openxmlformats.org/officeDocument/2006/relationships/hyperlink" Target="javascript:void(0)" TargetMode="External"/><Relationship Id="rId24" Type="http://schemas.openxmlformats.org/officeDocument/2006/relationships/hyperlink" Target="javascript:void(0)" TargetMode="External"/><Relationship Id="rId40" Type="http://schemas.openxmlformats.org/officeDocument/2006/relationships/hyperlink" Target="javascript:void(0)" TargetMode="External"/><Relationship Id="rId45" Type="http://schemas.openxmlformats.org/officeDocument/2006/relationships/hyperlink" Target="javascript:void(0)" TargetMode="External"/><Relationship Id="rId66" Type="http://schemas.openxmlformats.org/officeDocument/2006/relationships/hyperlink" Target="javascript:void(0)" TargetMode="External"/><Relationship Id="rId87" Type="http://schemas.openxmlformats.org/officeDocument/2006/relationships/hyperlink" Target="javascript:void(0)" TargetMode="External"/><Relationship Id="rId61" Type="http://schemas.openxmlformats.org/officeDocument/2006/relationships/hyperlink" Target="javascript:void(0)" TargetMode="External"/><Relationship Id="rId82" Type="http://schemas.openxmlformats.org/officeDocument/2006/relationships/hyperlink" Target="javascript:void(0)" TargetMode="External"/><Relationship Id="rId19" Type="http://schemas.openxmlformats.org/officeDocument/2006/relationships/hyperlink" Target="../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Content.Outlook/AppData/Local/Microsoft/Windows/INetCache/Samba-BPR/R15AMR_CD_V1/Subsystems/R15%20CMB/Content/Corporate%20MB/Processes/Outward%20Collections.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G20"/>
  <sheetViews>
    <sheetView zoomScaleNormal="100" workbookViewId="0">
      <selection activeCell="J4" sqref="J4"/>
    </sheetView>
  </sheetViews>
  <sheetFormatPr defaultRowHeight="15" x14ac:dyDescent="0.25"/>
  <cols>
    <col min="2" max="2" width="11" customWidth="1"/>
    <col min="3" max="3" width="21.85546875" customWidth="1"/>
    <col min="4" max="4" width="20.140625" customWidth="1"/>
    <col min="5" max="5" width="23" customWidth="1"/>
    <col min="6" max="6" width="21.28515625" customWidth="1"/>
    <col min="7" max="7" width="11.85546875" customWidth="1"/>
  </cols>
  <sheetData>
    <row r="1" spans="1:7" x14ac:dyDescent="0.25">
      <c r="A1" s="15"/>
      <c r="B1" s="15"/>
      <c r="C1" s="15"/>
      <c r="D1" s="15"/>
      <c r="E1" s="15"/>
      <c r="F1" s="15"/>
      <c r="G1" s="15"/>
    </row>
    <row r="2" spans="1:7" x14ac:dyDescent="0.25">
      <c r="A2" s="15"/>
      <c r="B2" s="15"/>
      <c r="C2" s="15"/>
      <c r="D2" s="15"/>
      <c r="E2" s="15"/>
      <c r="F2" s="15"/>
      <c r="G2" s="15"/>
    </row>
    <row r="3" spans="1:7" x14ac:dyDescent="0.25">
      <c r="A3" s="15"/>
      <c r="B3" s="15"/>
      <c r="C3" s="15"/>
      <c r="D3" s="15"/>
      <c r="E3" s="15"/>
      <c r="F3" s="15"/>
      <c r="G3" s="15"/>
    </row>
    <row r="4" spans="1:7" x14ac:dyDescent="0.25">
      <c r="A4" s="15"/>
      <c r="B4" s="15"/>
      <c r="C4" s="15"/>
      <c r="D4" s="15"/>
      <c r="E4" s="15"/>
      <c r="F4" s="15"/>
      <c r="G4" s="15"/>
    </row>
    <row r="5" spans="1:7" x14ac:dyDescent="0.25">
      <c r="A5" s="15"/>
      <c r="B5" s="15"/>
      <c r="C5" s="15"/>
      <c r="D5" s="15"/>
      <c r="E5" s="15"/>
      <c r="F5" s="15"/>
      <c r="G5" s="15"/>
    </row>
    <row r="6" spans="1:7" ht="12.75" customHeight="1" x14ac:dyDescent="0.25">
      <c r="A6" s="15"/>
      <c r="B6" s="15"/>
      <c r="C6" s="15"/>
      <c r="D6" s="15"/>
      <c r="E6" s="15"/>
      <c r="F6" s="15"/>
      <c r="G6" s="15"/>
    </row>
    <row r="7" spans="1:7" x14ac:dyDescent="0.25">
      <c r="B7" s="85" t="s">
        <v>0</v>
      </c>
      <c r="C7" s="85" t="s">
        <v>1</v>
      </c>
      <c r="D7" s="85" t="s">
        <v>2</v>
      </c>
      <c r="E7" s="85" t="s">
        <v>3</v>
      </c>
      <c r="F7" s="85" t="s">
        <v>4</v>
      </c>
      <c r="G7" s="85" t="s">
        <v>5</v>
      </c>
    </row>
    <row r="8" spans="1:7" x14ac:dyDescent="0.25">
      <c r="B8" s="85"/>
      <c r="C8" s="85"/>
      <c r="D8" s="85"/>
      <c r="E8" s="85"/>
      <c r="F8" s="85"/>
      <c r="G8" s="85"/>
    </row>
    <row r="9" spans="1:7" x14ac:dyDescent="0.25">
      <c r="B9" s="85"/>
      <c r="C9" s="85"/>
      <c r="D9" s="85"/>
      <c r="E9" s="85"/>
      <c r="F9" s="85"/>
      <c r="G9" s="85"/>
    </row>
    <row r="10" spans="1:7" x14ac:dyDescent="0.25">
      <c r="B10" s="85"/>
      <c r="C10" s="85"/>
      <c r="D10" s="85"/>
      <c r="E10" s="85"/>
      <c r="F10" s="85"/>
      <c r="G10" s="85"/>
    </row>
    <row r="11" spans="1:7" x14ac:dyDescent="0.25">
      <c r="B11" s="85"/>
      <c r="C11" s="85"/>
      <c r="D11" s="85"/>
      <c r="E11" s="85"/>
      <c r="F11" s="85"/>
      <c r="G11" s="85"/>
    </row>
    <row r="12" spans="1:7" x14ac:dyDescent="0.25">
      <c r="B12" s="85"/>
      <c r="C12" s="85"/>
      <c r="D12" s="85"/>
      <c r="E12" s="85"/>
      <c r="F12" s="85"/>
      <c r="G12" s="85"/>
    </row>
    <row r="13" spans="1:7" x14ac:dyDescent="0.25">
      <c r="B13" s="85"/>
      <c r="C13" s="85"/>
      <c r="D13" s="85"/>
      <c r="E13" s="85"/>
      <c r="F13" s="85"/>
      <c r="G13" s="85"/>
    </row>
    <row r="14" spans="1:7" x14ac:dyDescent="0.25">
      <c r="B14" s="85"/>
      <c r="C14" s="85"/>
      <c r="D14" s="85"/>
      <c r="E14" s="85"/>
      <c r="F14" s="85"/>
      <c r="G14" s="85"/>
    </row>
    <row r="15" spans="1:7" x14ac:dyDescent="0.25">
      <c r="B15" s="85"/>
      <c r="C15" s="85"/>
      <c r="D15" s="85"/>
      <c r="E15" s="85"/>
      <c r="F15" s="85"/>
      <c r="G15" s="85"/>
    </row>
    <row r="16" spans="1:7" x14ac:dyDescent="0.25">
      <c r="B16" s="85"/>
      <c r="C16" s="85"/>
      <c r="D16" s="85"/>
      <c r="E16" s="85"/>
      <c r="F16" s="85"/>
      <c r="G16" s="85"/>
    </row>
    <row r="17" spans="2:7" x14ac:dyDescent="0.25">
      <c r="B17" s="85"/>
      <c r="C17" s="85"/>
      <c r="D17" s="85"/>
      <c r="E17" s="85"/>
      <c r="F17" s="85"/>
      <c r="G17" s="85"/>
    </row>
    <row r="18" spans="2:7" x14ac:dyDescent="0.25">
      <c r="B18" s="85"/>
      <c r="C18" s="85"/>
      <c r="D18" s="85"/>
      <c r="E18" s="85"/>
      <c r="F18" s="85"/>
      <c r="G18" s="85"/>
    </row>
    <row r="19" spans="2:7" x14ac:dyDescent="0.25">
      <c r="B19" s="85"/>
      <c r="C19" s="85"/>
      <c r="D19" s="85"/>
      <c r="E19" s="85"/>
      <c r="F19" s="85"/>
      <c r="G19" s="85"/>
    </row>
    <row r="20" spans="2:7" x14ac:dyDescent="0.25">
      <c r="B20" s="85"/>
      <c r="C20" s="85"/>
      <c r="D20" s="85"/>
      <c r="E20" s="85"/>
      <c r="F20" s="85"/>
      <c r="G20" s="85"/>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7:I21"/>
  <sheetViews>
    <sheetView workbookViewId="0">
      <selection activeCell="E8" sqref="E8"/>
    </sheetView>
  </sheetViews>
  <sheetFormatPr defaultRowHeight="15" x14ac:dyDescent="0.25"/>
  <cols>
    <col min="2" max="2" width="15" customWidth="1"/>
    <col min="3" max="3" width="13.5703125" customWidth="1"/>
    <col min="4" max="4" width="19.7109375" bestFit="1" customWidth="1"/>
    <col min="5" max="5" width="17.85546875" customWidth="1"/>
    <col min="6" max="6" width="17.140625" customWidth="1"/>
    <col min="7" max="7" width="14" customWidth="1"/>
    <col min="8" max="8" width="24.5703125" customWidth="1"/>
    <col min="9" max="9" width="22.85546875" customWidth="1"/>
  </cols>
  <sheetData>
    <row r="7" spans="2:9" ht="30" x14ac:dyDescent="0.25">
      <c r="B7" s="86" t="s">
        <v>6</v>
      </c>
      <c r="C7" s="86" t="s">
        <v>7</v>
      </c>
      <c r="D7" s="86" t="s">
        <v>8</v>
      </c>
      <c r="E7" s="86" t="s">
        <v>9</v>
      </c>
      <c r="F7" s="86" t="s">
        <v>10</v>
      </c>
      <c r="G7" s="86" t="s">
        <v>11</v>
      </c>
      <c r="H7" s="86" t="s">
        <v>12</v>
      </c>
      <c r="I7" s="87" t="s">
        <v>13</v>
      </c>
    </row>
    <row r="8" spans="2:9" x14ac:dyDescent="0.25">
      <c r="B8" s="52">
        <v>1</v>
      </c>
      <c r="C8" s="88">
        <v>1</v>
      </c>
      <c r="D8" s="53" t="s">
        <v>14</v>
      </c>
      <c r="E8" s="89">
        <v>44552</v>
      </c>
      <c r="F8" s="89"/>
      <c r="G8" s="53"/>
      <c r="H8" s="90"/>
      <c r="I8" s="53"/>
    </row>
    <row r="9" spans="2:9" x14ac:dyDescent="0.25">
      <c r="B9" s="52"/>
      <c r="C9" s="52"/>
      <c r="D9" s="52"/>
      <c r="E9" s="89"/>
      <c r="F9" s="89"/>
      <c r="G9" s="53"/>
      <c r="H9" s="91"/>
      <c r="I9" s="91"/>
    </row>
    <row r="10" spans="2:9" x14ac:dyDescent="0.25">
      <c r="B10" s="52"/>
      <c r="C10" s="52"/>
      <c r="D10" s="52"/>
      <c r="E10" s="89"/>
      <c r="F10" s="52"/>
      <c r="G10" s="52"/>
      <c r="H10" s="52"/>
      <c r="I10" s="52"/>
    </row>
    <row r="11" spans="2:9" x14ac:dyDescent="0.25">
      <c r="B11" s="52"/>
      <c r="C11" s="52"/>
      <c r="D11" s="52"/>
      <c r="E11" s="89"/>
      <c r="F11" s="52"/>
      <c r="G11" s="52"/>
      <c r="H11" s="52"/>
      <c r="I11" s="52"/>
    </row>
    <row r="12" spans="2:9" x14ac:dyDescent="0.25">
      <c r="B12" s="52"/>
      <c r="C12" s="52"/>
      <c r="D12" s="52"/>
      <c r="E12" s="89"/>
      <c r="F12" s="52"/>
      <c r="G12" s="52"/>
      <c r="H12" s="52"/>
      <c r="I12" s="52"/>
    </row>
    <row r="13" spans="2:9" x14ac:dyDescent="0.25">
      <c r="B13" s="52"/>
      <c r="C13" s="52"/>
      <c r="D13" s="52"/>
      <c r="E13" s="89"/>
      <c r="F13" s="52"/>
      <c r="G13" s="52"/>
      <c r="H13" s="52"/>
      <c r="I13" s="52"/>
    </row>
    <row r="14" spans="2:9" x14ac:dyDescent="0.25">
      <c r="B14" s="52"/>
      <c r="C14" s="52"/>
      <c r="D14" s="52"/>
      <c r="E14" s="89"/>
      <c r="F14" s="52"/>
      <c r="G14" s="52"/>
      <c r="H14" s="52"/>
      <c r="I14" s="52"/>
    </row>
    <row r="15" spans="2:9" x14ac:dyDescent="0.25">
      <c r="B15" s="52"/>
      <c r="C15" s="52"/>
      <c r="D15" s="52"/>
      <c r="E15" s="89"/>
      <c r="F15" s="52"/>
      <c r="G15" s="52"/>
      <c r="H15" s="52"/>
      <c r="I15" s="52"/>
    </row>
    <row r="18" spans="2:9" x14ac:dyDescent="0.25">
      <c r="B18" s="103" t="s">
        <v>15</v>
      </c>
      <c r="C18" s="103"/>
      <c r="D18" s="103"/>
      <c r="E18" s="103"/>
      <c r="F18" s="103"/>
      <c r="G18" s="103"/>
      <c r="H18" s="103"/>
      <c r="I18" s="103"/>
    </row>
    <row r="19" spans="2:9" x14ac:dyDescent="0.25">
      <c r="B19" s="103"/>
      <c r="C19" s="103"/>
      <c r="D19" s="103"/>
      <c r="E19" s="103"/>
      <c r="F19" s="103"/>
      <c r="G19" s="103"/>
      <c r="H19" s="103"/>
      <c r="I19" s="103"/>
    </row>
    <row r="20" spans="2:9" x14ac:dyDescent="0.25">
      <c r="B20" s="103"/>
      <c r="C20" s="103"/>
      <c r="D20" s="103"/>
      <c r="E20" s="103"/>
      <c r="F20" s="103"/>
      <c r="G20" s="103"/>
      <c r="H20" s="103"/>
      <c r="I20" s="103"/>
    </row>
    <row r="21" spans="2:9" x14ac:dyDescent="0.25">
      <c r="B21" s="103"/>
      <c r="C21" s="103"/>
      <c r="D21" s="103"/>
      <c r="E21" s="103"/>
      <c r="F21" s="103"/>
      <c r="G21" s="103"/>
      <c r="H21" s="103"/>
      <c r="I21" s="103"/>
    </row>
  </sheetData>
  <mergeCells count="1">
    <mergeCell ref="B18:I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BP10"/>
  <sheetViews>
    <sheetView zoomScale="90" zoomScaleNormal="90" workbookViewId="0">
      <selection activeCell="B9" sqref="B9"/>
    </sheetView>
  </sheetViews>
  <sheetFormatPr defaultColWidth="17.140625" defaultRowHeight="15" x14ac:dyDescent="0.25"/>
  <cols>
    <col min="2" max="2" width="27.5703125" bestFit="1" customWidth="1"/>
    <col min="3" max="3" width="36.140625" customWidth="1"/>
    <col min="4" max="4" width="25.140625" customWidth="1"/>
    <col min="6" max="7" width="0" hidden="1" customWidth="1"/>
    <col min="8" max="9" width="17.140625" hidden="1" customWidth="1"/>
  </cols>
  <sheetData>
    <row r="1" spans="1:68" s="48" customFormat="1" ht="30" x14ac:dyDescent="0.25">
      <c r="A1" s="42" t="s">
        <v>16</v>
      </c>
      <c r="B1" s="42" t="s">
        <v>17</v>
      </c>
      <c r="C1" s="43" t="s">
        <v>18</v>
      </c>
      <c r="D1" s="42" t="s">
        <v>19</v>
      </c>
      <c r="E1" s="42" t="s">
        <v>20</v>
      </c>
      <c r="F1" s="42" t="s">
        <v>21</v>
      </c>
      <c r="G1" s="44" t="s">
        <v>22</v>
      </c>
      <c r="H1" s="45" t="s">
        <v>23</v>
      </c>
      <c r="I1" s="46" t="s">
        <v>24</v>
      </c>
      <c r="J1" s="42" t="s">
        <v>25</v>
      </c>
      <c r="K1" s="42" t="s">
        <v>26</v>
      </c>
      <c r="L1"/>
      <c r="M1"/>
      <c r="N1"/>
      <c r="O1"/>
      <c r="P1"/>
      <c r="Q1"/>
      <c r="R1"/>
      <c r="S1"/>
      <c r="T1"/>
      <c r="U1"/>
      <c r="V1"/>
      <c r="W1"/>
      <c r="X1"/>
      <c r="Y1"/>
      <c r="Z1"/>
      <c r="AA1"/>
      <c r="AB1"/>
      <c r="AC1"/>
      <c r="AD1"/>
      <c r="AE1"/>
      <c r="AF1"/>
      <c r="AG1"/>
      <c r="AH1"/>
      <c r="AI1"/>
      <c r="AJ1"/>
      <c r="AK1"/>
      <c r="AL1"/>
      <c r="AM1"/>
      <c r="AN1"/>
      <c r="AO1"/>
      <c r="AP1"/>
      <c r="AQ1"/>
      <c r="AR1"/>
      <c r="AS1"/>
      <c r="AT1"/>
      <c r="AU1"/>
      <c r="AV1"/>
      <c r="AW1"/>
      <c r="AX1"/>
      <c r="AY1"/>
      <c r="AZ1" s="47"/>
      <c r="BA1" s="47"/>
      <c r="BB1" s="47"/>
      <c r="BC1" s="47"/>
      <c r="BD1" s="47"/>
      <c r="BE1" s="47"/>
      <c r="BF1" s="47"/>
      <c r="BG1" s="47"/>
      <c r="BH1" s="47"/>
      <c r="BI1" s="47"/>
      <c r="BJ1" s="47"/>
      <c r="BK1" s="47"/>
      <c r="BL1" s="47"/>
      <c r="BM1" s="47"/>
      <c r="BN1" s="47"/>
      <c r="BO1" s="47"/>
      <c r="BP1" s="47"/>
    </row>
    <row r="2" spans="1:68" ht="15.75" x14ac:dyDescent="0.25">
      <c r="A2" s="58" t="s">
        <v>27</v>
      </c>
      <c r="B2" s="56"/>
      <c r="C2" s="57"/>
      <c r="D2" s="57"/>
      <c r="E2" s="57"/>
      <c r="F2" s="57"/>
      <c r="G2" s="57"/>
      <c r="H2" s="59"/>
      <c r="I2" s="59"/>
      <c r="J2" s="49"/>
      <c r="K2" s="49"/>
    </row>
    <row r="3" spans="1:68" ht="56.25" x14ac:dyDescent="0.25">
      <c r="A3" s="60"/>
      <c r="B3" s="56" t="s">
        <v>28</v>
      </c>
      <c r="C3" s="57" t="s">
        <v>29</v>
      </c>
      <c r="D3" s="57" t="s">
        <v>30</v>
      </c>
      <c r="E3" s="57" t="s">
        <v>31</v>
      </c>
      <c r="F3" s="57" t="s">
        <v>32</v>
      </c>
      <c r="G3" s="57" t="s">
        <v>32</v>
      </c>
      <c r="H3" s="59"/>
      <c r="I3" s="59"/>
      <c r="J3" s="52" t="s">
        <v>33</v>
      </c>
      <c r="K3" s="49"/>
    </row>
    <row r="4" spans="1:68" ht="56.25" x14ac:dyDescent="0.25">
      <c r="A4" s="60"/>
      <c r="B4" s="56" t="s">
        <v>34</v>
      </c>
      <c r="C4" s="57" t="s">
        <v>35</v>
      </c>
      <c r="D4" s="57" t="s">
        <v>30</v>
      </c>
      <c r="E4" s="57" t="s">
        <v>31</v>
      </c>
      <c r="F4" s="57" t="s">
        <v>32</v>
      </c>
      <c r="G4" s="57" t="s">
        <v>32</v>
      </c>
      <c r="H4" s="59"/>
      <c r="I4" s="59"/>
      <c r="J4" s="52" t="s">
        <v>33</v>
      </c>
      <c r="K4" s="49"/>
    </row>
    <row r="5" spans="1:68" ht="56.25" x14ac:dyDescent="0.25">
      <c r="A5" s="60"/>
      <c r="B5" s="56" t="s">
        <v>36</v>
      </c>
      <c r="C5" s="57" t="s">
        <v>29</v>
      </c>
      <c r="D5" s="57" t="s">
        <v>30</v>
      </c>
      <c r="E5" s="57" t="s">
        <v>31</v>
      </c>
      <c r="F5" s="57" t="s">
        <v>32</v>
      </c>
      <c r="G5" s="57" t="s">
        <v>32</v>
      </c>
      <c r="H5" s="59"/>
      <c r="I5" s="59"/>
      <c r="J5" s="52" t="s">
        <v>33</v>
      </c>
      <c r="K5" s="49"/>
    </row>
    <row r="6" spans="1:68" ht="56.25" x14ac:dyDescent="0.25">
      <c r="A6" s="60"/>
      <c r="B6" s="56" t="s">
        <v>37</v>
      </c>
      <c r="C6" s="57" t="s">
        <v>35</v>
      </c>
      <c r="D6" s="57" t="s">
        <v>30</v>
      </c>
      <c r="E6" s="57" t="s">
        <v>31</v>
      </c>
      <c r="F6" s="57" t="s">
        <v>32</v>
      </c>
      <c r="G6" s="57" t="s">
        <v>32</v>
      </c>
      <c r="H6" s="59"/>
      <c r="I6" s="59"/>
      <c r="J6" s="52" t="s">
        <v>33</v>
      </c>
      <c r="K6" s="49"/>
    </row>
    <row r="7" spans="1:68" ht="56.25" x14ac:dyDescent="0.25">
      <c r="A7" s="60"/>
      <c r="B7" s="56" t="s">
        <v>38</v>
      </c>
      <c r="C7" s="57" t="s">
        <v>29</v>
      </c>
      <c r="D7" s="57" t="s">
        <v>30</v>
      </c>
      <c r="E7" s="57" t="s">
        <v>31</v>
      </c>
      <c r="F7" s="57" t="s">
        <v>32</v>
      </c>
      <c r="G7" s="57" t="s">
        <v>32</v>
      </c>
      <c r="H7" s="59"/>
      <c r="I7" s="59"/>
      <c r="J7" s="52" t="s">
        <v>33</v>
      </c>
      <c r="K7" s="49"/>
    </row>
    <row r="8" spans="1:68" ht="56.25" x14ac:dyDescent="0.25">
      <c r="A8" s="60"/>
      <c r="B8" s="56" t="s">
        <v>39</v>
      </c>
      <c r="C8" s="57" t="s">
        <v>35</v>
      </c>
      <c r="D8" s="57" t="s">
        <v>30</v>
      </c>
      <c r="E8" s="57" t="s">
        <v>31</v>
      </c>
      <c r="F8" s="57" t="s">
        <v>32</v>
      </c>
      <c r="G8" s="57" t="s">
        <v>32</v>
      </c>
      <c r="H8" s="59"/>
      <c r="I8" s="59"/>
      <c r="J8" s="52" t="s">
        <v>33</v>
      </c>
      <c r="K8" s="49"/>
    </row>
    <row r="9" spans="1:68" ht="45" x14ac:dyDescent="0.25">
      <c r="A9" s="60"/>
      <c r="B9" s="56" t="s">
        <v>40</v>
      </c>
      <c r="C9" s="57" t="s">
        <v>41</v>
      </c>
      <c r="D9" s="57" t="s">
        <v>42</v>
      </c>
      <c r="E9" s="57" t="s">
        <v>31</v>
      </c>
      <c r="F9" s="57" t="s">
        <v>32</v>
      </c>
      <c r="G9" s="57" t="s">
        <v>32</v>
      </c>
      <c r="H9" s="59"/>
      <c r="I9" s="59"/>
      <c r="J9" s="52" t="s">
        <v>33</v>
      </c>
      <c r="K9" s="49"/>
    </row>
    <row r="10" spans="1:68" x14ac:dyDescent="0.25">
      <c r="A10" s="49"/>
      <c r="B10" s="49"/>
      <c r="C10" s="49"/>
      <c r="D10" s="49"/>
      <c r="E10" s="49"/>
      <c r="F10" s="49"/>
      <c r="G10" s="49"/>
      <c r="H10" s="49"/>
      <c r="I10" s="49"/>
      <c r="J10" s="49"/>
      <c r="K10" s="4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N115"/>
  <sheetViews>
    <sheetView zoomScale="85" zoomScaleNormal="85" workbookViewId="0">
      <selection activeCell="D8" sqref="D8"/>
    </sheetView>
  </sheetViews>
  <sheetFormatPr defaultColWidth="22.140625" defaultRowHeight="15" x14ac:dyDescent="0.25"/>
  <cols>
    <col min="2" max="2" width="43.85546875" customWidth="1"/>
    <col min="6" max="6" width="22.140625" hidden="1" customWidth="1"/>
    <col min="9" max="10" width="0" hidden="1" customWidth="1"/>
    <col min="11" max="11" width="22.140625" style="95"/>
  </cols>
  <sheetData>
    <row r="1" spans="1:14" ht="30" x14ac:dyDescent="0.25">
      <c r="A1" s="45" t="s">
        <v>43</v>
      </c>
      <c r="B1" s="45" t="s">
        <v>44</v>
      </c>
      <c r="C1" s="45" t="s">
        <v>45</v>
      </c>
      <c r="D1" s="50" t="s">
        <v>46</v>
      </c>
      <c r="E1" s="50" t="s">
        <v>47</v>
      </c>
      <c r="F1" s="51" t="s">
        <v>48</v>
      </c>
      <c r="G1" s="50" t="s">
        <v>49</v>
      </c>
      <c r="H1" s="50" t="s">
        <v>50</v>
      </c>
      <c r="I1" s="45" t="s">
        <v>23</v>
      </c>
      <c r="J1" s="45" t="s">
        <v>24</v>
      </c>
      <c r="K1" s="45" t="s">
        <v>25</v>
      </c>
      <c r="L1" s="45" t="s">
        <v>26</v>
      </c>
      <c r="M1" s="23"/>
      <c r="N1" s="23"/>
    </row>
    <row r="2" spans="1:14" s="55" customFormat="1" ht="23.25" x14ac:dyDescent="0.35">
      <c r="A2" s="84" t="s">
        <v>51</v>
      </c>
      <c r="B2" s="84" t="s">
        <v>52</v>
      </c>
      <c r="C2" s="54"/>
      <c r="D2" s="54"/>
      <c r="E2" s="54"/>
      <c r="F2" s="54"/>
      <c r="G2" s="54"/>
      <c r="H2" s="54"/>
      <c r="I2" s="54"/>
      <c r="J2" s="54"/>
      <c r="K2" s="93"/>
      <c r="L2" s="54"/>
    </row>
    <row r="3" spans="1:14" ht="26.25" x14ac:dyDescent="0.25">
      <c r="A3" s="61" t="s">
        <v>53</v>
      </c>
      <c r="B3" s="62" t="s">
        <v>54</v>
      </c>
      <c r="C3" s="63"/>
      <c r="D3" s="49"/>
      <c r="E3" s="49"/>
      <c r="F3" s="49"/>
      <c r="G3" s="49"/>
      <c r="H3" s="49"/>
      <c r="I3" s="49"/>
      <c r="J3" s="49"/>
      <c r="K3" s="94"/>
      <c r="L3" s="49"/>
    </row>
    <row r="4" spans="1:14" ht="21" x14ac:dyDescent="0.25">
      <c r="A4" s="64" t="s">
        <v>55</v>
      </c>
      <c r="B4" s="65" t="s">
        <v>56</v>
      </c>
      <c r="C4" s="66"/>
      <c r="D4" s="49"/>
      <c r="E4" s="49"/>
      <c r="F4" s="49"/>
      <c r="G4" s="49"/>
      <c r="H4" s="49"/>
      <c r="I4" s="49"/>
      <c r="J4" s="49"/>
      <c r="K4" s="94"/>
      <c r="L4" s="49"/>
    </row>
    <row r="5" spans="1:14" x14ac:dyDescent="0.25">
      <c r="A5" s="67" t="s">
        <v>57</v>
      </c>
      <c r="B5" s="68" t="s">
        <v>58</v>
      </c>
      <c r="C5" s="66" t="s">
        <v>59</v>
      </c>
      <c r="D5" s="89">
        <v>44550</v>
      </c>
      <c r="E5" s="89">
        <v>44550</v>
      </c>
      <c r="F5" s="89"/>
      <c r="G5" s="89">
        <v>44550</v>
      </c>
      <c r="H5" s="89">
        <v>44550</v>
      </c>
      <c r="I5" s="49"/>
      <c r="J5" s="49"/>
      <c r="K5" s="94"/>
      <c r="L5" s="49"/>
    </row>
    <row r="6" spans="1:14" x14ac:dyDescent="0.25">
      <c r="A6" s="67" t="s">
        <v>60</v>
      </c>
      <c r="B6" s="68" t="s">
        <v>61</v>
      </c>
      <c r="C6" s="66" t="s">
        <v>59</v>
      </c>
      <c r="D6" s="89">
        <v>44550</v>
      </c>
      <c r="E6" s="89">
        <v>44550</v>
      </c>
      <c r="F6" s="89"/>
      <c r="G6" s="89">
        <v>44550</v>
      </c>
      <c r="H6" s="89">
        <v>44550</v>
      </c>
      <c r="I6" s="49"/>
      <c r="J6" s="49"/>
      <c r="K6" s="94"/>
      <c r="L6" s="49"/>
    </row>
    <row r="7" spans="1:14" x14ac:dyDescent="0.25">
      <c r="A7" s="67" t="s">
        <v>62</v>
      </c>
      <c r="B7" s="68" t="s">
        <v>63</v>
      </c>
      <c r="C7" s="66" t="s">
        <v>59</v>
      </c>
      <c r="D7" s="89">
        <v>44550</v>
      </c>
      <c r="E7" s="89">
        <v>44550</v>
      </c>
      <c r="F7" s="89"/>
      <c r="G7" s="89">
        <v>44550</v>
      </c>
      <c r="H7" s="89">
        <v>44550</v>
      </c>
      <c r="I7" s="49"/>
      <c r="J7" s="49"/>
      <c r="K7" s="94"/>
      <c r="L7" s="49"/>
    </row>
    <row r="8" spans="1:14" x14ac:dyDescent="0.25">
      <c r="A8" s="67" t="s">
        <v>64</v>
      </c>
      <c r="B8" s="68" t="s">
        <v>65</v>
      </c>
      <c r="C8" s="66" t="s">
        <v>59</v>
      </c>
      <c r="D8" s="89">
        <v>44550</v>
      </c>
      <c r="E8" s="89">
        <v>44550</v>
      </c>
      <c r="F8" s="89"/>
      <c r="G8" s="89">
        <v>44550</v>
      </c>
      <c r="H8" s="89">
        <v>44550</v>
      </c>
      <c r="I8" s="49"/>
      <c r="J8" s="49"/>
      <c r="K8" s="94"/>
      <c r="L8" s="49"/>
    </row>
    <row r="9" spans="1:14" x14ac:dyDescent="0.25">
      <c r="A9" s="67" t="s">
        <v>66</v>
      </c>
      <c r="B9" s="68" t="s">
        <v>67</v>
      </c>
      <c r="C9" s="66" t="s">
        <v>59</v>
      </c>
      <c r="D9" s="89">
        <v>44550</v>
      </c>
      <c r="E9" s="89">
        <v>44550</v>
      </c>
      <c r="F9" s="89"/>
      <c r="G9" s="89">
        <v>44550</v>
      </c>
      <c r="H9" s="89">
        <v>44550</v>
      </c>
      <c r="I9" s="49"/>
      <c r="J9" s="49"/>
      <c r="K9" s="94"/>
      <c r="L9" s="49"/>
    </row>
    <row r="10" spans="1:14" x14ac:dyDescent="0.25">
      <c r="A10" s="67" t="s">
        <v>68</v>
      </c>
      <c r="B10" s="68" t="s">
        <v>69</v>
      </c>
      <c r="C10" s="66" t="s">
        <v>59</v>
      </c>
      <c r="D10" s="89">
        <v>44550</v>
      </c>
      <c r="E10" s="89">
        <v>44550</v>
      </c>
      <c r="F10" s="89"/>
      <c r="G10" s="89">
        <v>44550</v>
      </c>
      <c r="H10" s="89">
        <v>44550</v>
      </c>
      <c r="I10" s="49"/>
      <c r="J10" s="49"/>
      <c r="K10" s="94"/>
      <c r="L10" s="49"/>
    </row>
    <row r="11" spans="1:14" x14ac:dyDescent="0.25">
      <c r="A11" s="67" t="s">
        <v>70</v>
      </c>
      <c r="B11" s="68" t="s">
        <v>71</v>
      </c>
      <c r="C11" s="66" t="s">
        <v>59</v>
      </c>
      <c r="D11" s="89">
        <v>44550</v>
      </c>
      <c r="E11" s="89">
        <v>44550</v>
      </c>
      <c r="F11" s="89"/>
      <c r="G11" s="89">
        <v>44550</v>
      </c>
      <c r="H11" s="89">
        <v>44550</v>
      </c>
      <c r="I11" s="49"/>
      <c r="J11" s="49"/>
      <c r="K11" s="94"/>
      <c r="L11" s="49"/>
    </row>
    <row r="12" spans="1:14" x14ac:dyDescent="0.25">
      <c r="A12" s="67" t="s">
        <v>72</v>
      </c>
      <c r="B12" s="68" t="s">
        <v>73</v>
      </c>
      <c r="C12" s="66" t="s">
        <v>59</v>
      </c>
      <c r="D12" s="89">
        <v>44550</v>
      </c>
      <c r="E12" s="89">
        <v>44550</v>
      </c>
      <c r="F12" s="89"/>
      <c r="G12" s="89">
        <v>44550</v>
      </c>
      <c r="H12" s="89">
        <v>44550</v>
      </c>
      <c r="I12" s="49"/>
      <c r="J12" s="49"/>
      <c r="K12" s="94"/>
      <c r="L12" s="49"/>
    </row>
    <row r="13" spans="1:14" ht="21" x14ac:dyDescent="0.25">
      <c r="A13" s="64" t="s">
        <v>74</v>
      </c>
      <c r="B13" s="65" t="s">
        <v>75</v>
      </c>
      <c r="C13" s="66"/>
      <c r="D13" s="49"/>
      <c r="E13" s="49"/>
      <c r="F13" s="49"/>
      <c r="G13" s="49"/>
      <c r="H13" s="49"/>
      <c r="I13" s="49"/>
      <c r="J13" s="49"/>
      <c r="K13" s="94"/>
      <c r="L13" s="49"/>
    </row>
    <row r="14" spans="1:14" x14ac:dyDescent="0.25">
      <c r="A14" s="96" t="s">
        <v>76</v>
      </c>
      <c r="B14" s="68" t="s">
        <v>77</v>
      </c>
      <c r="C14" s="66" t="s">
        <v>59</v>
      </c>
      <c r="D14" s="89">
        <v>44550</v>
      </c>
      <c r="E14" s="89">
        <v>44550</v>
      </c>
      <c r="F14" s="89"/>
      <c r="G14" s="89">
        <v>44550</v>
      </c>
      <c r="H14" s="89">
        <v>44550</v>
      </c>
      <c r="I14" s="49"/>
      <c r="J14" s="49"/>
      <c r="K14" s="94"/>
      <c r="L14" s="49"/>
    </row>
    <row r="15" spans="1:14" x14ac:dyDescent="0.25">
      <c r="A15" s="67" t="s">
        <v>78</v>
      </c>
      <c r="B15" s="68" t="s">
        <v>79</v>
      </c>
      <c r="C15" s="66" t="s">
        <v>59</v>
      </c>
      <c r="D15" s="89">
        <v>44550</v>
      </c>
      <c r="E15" s="89">
        <v>44550</v>
      </c>
      <c r="F15" s="89"/>
      <c r="G15" s="89">
        <v>44550</v>
      </c>
      <c r="H15" s="89">
        <v>44550</v>
      </c>
      <c r="I15" s="49"/>
      <c r="J15" s="49"/>
      <c r="K15" s="94"/>
      <c r="L15" s="49"/>
    </row>
    <row r="16" spans="1:14" x14ac:dyDescent="0.25">
      <c r="A16" s="67" t="s">
        <v>80</v>
      </c>
      <c r="B16" s="68" t="s">
        <v>81</v>
      </c>
      <c r="C16" s="66" t="s">
        <v>59</v>
      </c>
      <c r="D16" s="89">
        <v>44550</v>
      </c>
      <c r="E16" s="89">
        <v>44550</v>
      </c>
      <c r="F16" s="89"/>
      <c r="G16" s="89">
        <v>44550</v>
      </c>
      <c r="H16" s="89">
        <v>44550</v>
      </c>
      <c r="I16" s="49"/>
      <c r="J16" s="49"/>
      <c r="K16" s="94"/>
      <c r="L16" s="49"/>
    </row>
    <row r="17" spans="1:12" s="15" customFormat="1" x14ac:dyDescent="0.25">
      <c r="A17" s="80" t="s">
        <v>82</v>
      </c>
      <c r="B17" s="81" t="s">
        <v>83</v>
      </c>
      <c r="C17" s="82" t="s">
        <v>59</v>
      </c>
      <c r="D17" s="89">
        <v>44550</v>
      </c>
      <c r="E17" s="89">
        <v>44550</v>
      </c>
      <c r="F17" s="89"/>
      <c r="G17" s="89">
        <v>44550</v>
      </c>
      <c r="H17" s="89">
        <v>44550</v>
      </c>
      <c r="I17" s="83"/>
      <c r="J17" s="83"/>
      <c r="K17" s="94"/>
      <c r="L17" s="83"/>
    </row>
    <row r="18" spans="1:12" x14ac:dyDescent="0.25">
      <c r="A18" s="67" t="s">
        <v>84</v>
      </c>
      <c r="B18" s="68" t="s">
        <v>85</v>
      </c>
      <c r="C18" s="66" t="s">
        <v>59</v>
      </c>
      <c r="D18" s="89">
        <v>44550</v>
      </c>
      <c r="E18" s="89">
        <v>44550</v>
      </c>
      <c r="F18" s="89"/>
      <c r="G18" s="89">
        <v>44550</v>
      </c>
      <c r="H18" s="89">
        <v>44550</v>
      </c>
      <c r="I18" s="49"/>
      <c r="J18" s="49"/>
      <c r="K18" s="94"/>
      <c r="L18" s="49"/>
    </row>
    <row r="19" spans="1:12" x14ac:dyDescent="0.25">
      <c r="A19" s="67" t="s">
        <v>86</v>
      </c>
      <c r="B19" s="68" t="s">
        <v>87</v>
      </c>
      <c r="C19" s="66" t="s">
        <v>59</v>
      </c>
      <c r="D19" s="89">
        <v>44550</v>
      </c>
      <c r="E19" s="89">
        <v>44550</v>
      </c>
      <c r="F19" s="89"/>
      <c r="G19" s="89">
        <v>44550</v>
      </c>
      <c r="H19" s="89">
        <v>44550</v>
      </c>
      <c r="I19" s="49"/>
      <c r="J19" s="49"/>
      <c r="K19" s="94"/>
      <c r="L19" s="49"/>
    </row>
    <row r="20" spans="1:12" x14ac:dyDescent="0.25">
      <c r="A20" s="67" t="s">
        <v>88</v>
      </c>
      <c r="B20" s="68" t="s">
        <v>89</v>
      </c>
      <c r="C20" s="66" t="s">
        <v>59</v>
      </c>
      <c r="D20" s="89">
        <v>44550</v>
      </c>
      <c r="E20" s="89">
        <v>44550</v>
      </c>
      <c r="F20" s="89"/>
      <c r="G20" s="89">
        <v>44550</v>
      </c>
      <c r="H20" s="89">
        <v>44550</v>
      </c>
      <c r="I20" s="49"/>
      <c r="J20" s="49"/>
      <c r="K20" s="94"/>
      <c r="L20" s="49"/>
    </row>
    <row r="21" spans="1:12" ht="21" x14ac:dyDescent="0.25">
      <c r="A21" s="64" t="s">
        <v>90</v>
      </c>
      <c r="B21" s="65" t="s">
        <v>91</v>
      </c>
      <c r="C21" s="66"/>
      <c r="D21" s="89"/>
      <c r="E21" s="89"/>
      <c r="F21" s="89"/>
      <c r="G21" s="89"/>
      <c r="H21" s="89"/>
      <c r="I21" s="49"/>
      <c r="J21" s="49"/>
      <c r="K21" s="94"/>
      <c r="L21" s="49"/>
    </row>
    <row r="22" spans="1:12" x14ac:dyDescent="0.25">
      <c r="A22" s="96" t="s">
        <v>92</v>
      </c>
      <c r="B22" s="68" t="s">
        <v>93</v>
      </c>
      <c r="C22" s="66" t="s">
        <v>59</v>
      </c>
      <c r="D22" s="89">
        <v>44550</v>
      </c>
      <c r="E22" s="89">
        <v>44550</v>
      </c>
      <c r="F22" s="89"/>
      <c r="G22" s="89">
        <v>44550</v>
      </c>
      <c r="H22" s="89">
        <v>44550</v>
      </c>
      <c r="I22" s="49"/>
      <c r="J22" s="49"/>
      <c r="K22" s="94"/>
      <c r="L22" s="49"/>
    </row>
    <row r="23" spans="1:12" x14ac:dyDescent="0.25">
      <c r="A23" s="67" t="s">
        <v>94</v>
      </c>
      <c r="B23" s="68" t="s">
        <v>95</v>
      </c>
      <c r="C23" s="66" t="s">
        <v>59</v>
      </c>
      <c r="D23" s="89">
        <v>44550</v>
      </c>
      <c r="E23" s="89">
        <v>44550</v>
      </c>
      <c r="F23" s="89"/>
      <c r="G23" s="89">
        <v>44550</v>
      </c>
      <c r="H23" s="89">
        <v>44550</v>
      </c>
      <c r="I23" s="49"/>
      <c r="J23" s="49"/>
      <c r="K23" s="94"/>
      <c r="L23" s="49"/>
    </row>
    <row r="24" spans="1:12" x14ac:dyDescent="0.25">
      <c r="A24" s="67" t="s">
        <v>96</v>
      </c>
      <c r="B24" s="68" t="s">
        <v>97</v>
      </c>
      <c r="C24" s="66" t="s">
        <v>59</v>
      </c>
      <c r="D24" s="89">
        <v>44550</v>
      </c>
      <c r="E24" s="89">
        <v>44550</v>
      </c>
      <c r="F24" s="89"/>
      <c r="G24" s="89">
        <v>44550</v>
      </c>
      <c r="H24" s="89">
        <v>44550</v>
      </c>
      <c r="I24" s="49"/>
      <c r="J24" s="49"/>
      <c r="K24" s="94"/>
      <c r="L24" s="49"/>
    </row>
    <row r="25" spans="1:12" x14ac:dyDescent="0.25">
      <c r="A25" s="67" t="s">
        <v>98</v>
      </c>
      <c r="B25" s="68" t="s">
        <v>99</v>
      </c>
      <c r="C25" s="66" t="s">
        <v>59</v>
      </c>
      <c r="D25" s="89">
        <v>44550</v>
      </c>
      <c r="E25" s="89">
        <v>44550</v>
      </c>
      <c r="F25" s="89"/>
      <c r="G25" s="89">
        <v>44550</v>
      </c>
      <c r="H25" s="89">
        <v>44550</v>
      </c>
      <c r="I25" s="49"/>
      <c r="J25" s="49"/>
      <c r="K25" s="94"/>
      <c r="L25" s="49"/>
    </row>
    <row r="26" spans="1:12" x14ac:dyDescent="0.25">
      <c r="A26" s="67" t="s">
        <v>100</v>
      </c>
      <c r="B26" s="68" t="s">
        <v>101</v>
      </c>
      <c r="C26" s="66" t="s">
        <v>59</v>
      </c>
      <c r="D26" s="89">
        <v>44550</v>
      </c>
      <c r="E26" s="89">
        <v>44550</v>
      </c>
      <c r="F26" s="89"/>
      <c r="G26" s="89">
        <v>44550</v>
      </c>
      <c r="H26" s="89">
        <v>44550</v>
      </c>
      <c r="I26" s="49"/>
      <c r="J26" s="49"/>
      <c r="K26" s="94"/>
      <c r="L26" s="49"/>
    </row>
    <row r="27" spans="1:12" x14ac:dyDescent="0.25">
      <c r="A27" s="67" t="s">
        <v>102</v>
      </c>
      <c r="B27" s="68" t="s">
        <v>103</v>
      </c>
      <c r="C27" s="66" t="s">
        <v>59</v>
      </c>
      <c r="D27" s="89">
        <v>44550</v>
      </c>
      <c r="E27" s="89">
        <v>44550</v>
      </c>
      <c r="F27" s="89"/>
      <c r="G27" s="89">
        <v>44550</v>
      </c>
      <c r="H27" s="89">
        <v>44550</v>
      </c>
      <c r="I27" s="49"/>
      <c r="J27" s="49"/>
      <c r="K27" s="94"/>
      <c r="L27" s="49"/>
    </row>
    <row r="28" spans="1:12" ht="21" x14ac:dyDescent="0.25">
      <c r="A28" s="64" t="s">
        <v>104</v>
      </c>
      <c r="B28" s="65" t="s">
        <v>105</v>
      </c>
      <c r="C28" s="66"/>
      <c r="D28" s="49"/>
      <c r="E28" s="49"/>
      <c r="F28" s="49"/>
      <c r="G28" s="49"/>
      <c r="H28" s="49"/>
      <c r="I28" s="49"/>
      <c r="J28" s="49"/>
      <c r="K28" s="94"/>
      <c r="L28" s="49"/>
    </row>
    <row r="29" spans="1:12" x14ac:dyDescent="0.25">
      <c r="A29" s="96" t="s">
        <v>106</v>
      </c>
      <c r="B29" s="69" t="s">
        <v>93</v>
      </c>
      <c r="C29" s="66" t="s">
        <v>59</v>
      </c>
      <c r="D29" s="89">
        <v>44550</v>
      </c>
      <c r="E29" s="89">
        <v>44550</v>
      </c>
      <c r="F29" s="89"/>
      <c r="G29" s="89">
        <v>44550</v>
      </c>
      <c r="H29" s="89">
        <v>44550</v>
      </c>
      <c r="I29" s="49"/>
      <c r="J29" s="49"/>
      <c r="K29" s="94"/>
      <c r="L29" s="49"/>
    </row>
    <row r="30" spans="1:12" x14ac:dyDescent="0.25">
      <c r="A30" s="67" t="s">
        <v>107</v>
      </c>
      <c r="B30" s="69" t="s">
        <v>108</v>
      </c>
      <c r="C30" s="66" t="s">
        <v>59</v>
      </c>
      <c r="D30" s="89">
        <v>44550</v>
      </c>
      <c r="E30" s="89">
        <v>44550</v>
      </c>
      <c r="F30" s="89"/>
      <c r="G30" s="89">
        <v>44550</v>
      </c>
      <c r="H30" s="89">
        <v>44550</v>
      </c>
      <c r="I30" s="49"/>
      <c r="J30" s="49"/>
      <c r="K30" s="94"/>
      <c r="L30" s="49"/>
    </row>
    <row r="31" spans="1:12" x14ac:dyDescent="0.25">
      <c r="A31" s="67" t="s">
        <v>109</v>
      </c>
      <c r="B31" s="69" t="s">
        <v>110</v>
      </c>
      <c r="C31" s="66" t="s">
        <v>59</v>
      </c>
      <c r="D31" s="89">
        <v>44550</v>
      </c>
      <c r="E31" s="89">
        <v>44550</v>
      </c>
      <c r="F31" s="89"/>
      <c r="G31" s="89">
        <v>44550</v>
      </c>
      <c r="H31" s="89">
        <v>44550</v>
      </c>
      <c r="I31" s="49"/>
      <c r="J31" s="49"/>
      <c r="K31" s="94"/>
      <c r="L31" s="49"/>
    </row>
    <row r="32" spans="1:12" x14ac:dyDescent="0.25">
      <c r="A32" s="67" t="s">
        <v>111</v>
      </c>
      <c r="B32" s="69" t="s">
        <v>112</v>
      </c>
      <c r="C32" s="66" t="s">
        <v>59</v>
      </c>
      <c r="D32" s="89">
        <v>44550</v>
      </c>
      <c r="E32" s="89">
        <v>44550</v>
      </c>
      <c r="F32" s="89"/>
      <c r="G32" s="89">
        <v>44550</v>
      </c>
      <c r="H32" s="89">
        <v>44550</v>
      </c>
      <c r="I32" s="49"/>
      <c r="J32" s="49"/>
      <c r="K32" s="94"/>
      <c r="L32" s="49"/>
    </row>
    <row r="33" spans="1:12" x14ac:dyDescent="0.25">
      <c r="A33" s="67" t="s">
        <v>113</v>
      </c>
      <c r="B33" s="69" t="s">
        <v>114</v>
      </c>
      <c r="C33" s="66" t="s">
        <v>59</v>
      </c>
      <c r="D33" s="89">
        <v>44550</v>
      </c>
      <c r="E33" s="89">
        <v>44550</v>
      </c>
      <c r="F33" s="89"/>
      <c r="G33" s="89">
        <v>44550</v>
      </c>
      <c r="H33" s="89">
        <v>44550</v>
      </c>
      <c r="I33" s="49"/>
      <c r="J33" s="49"/>
      <c r="K33" s="94"/>
      <c r="L33" s="49"/>
    </row>
    <row r="34" spans="1:12" x14ac:dyDescent="0.25">
      <c r="A34" s="67" t="s">
        <v>115</v>
      </c>
      <c r="B34" s="69" t="s">
        <v>116</v>
      </c>
      <c r="C34" s="66" t="s">
        <v>59</v>
      </c>
      <c r="D34" s="89">
        <v>44550</v>
      </c>
      <c r="E34" s="89">
        <v>44550</v>
      </c>
      <c r="F34" s="89"/>
      <c r="G34" s="89">
        <v>44550</v>
      </c>
      <c r="H34" s="89">
        <v>44550</v>
      </c>
      <c r="I34" s="49"/>
      <c r="J34" s="49"/>
      <c r="K34" s="94"/>
      <c r="L34" s="49"/>
    </row>
    <row r="35" spans="1:12" ht="45" x14ac:dyDescent="0.25">
      <c r="A35" s="64" t="s">
        <v>117</v>
      </c>
      <c r="B35" s="65" t="s">
        <v>118</v>
      </c>
      <c r="C35" s="66"/>
      <c r="D35" s="49"/>
      <c r="E35" s="49"/>
      <c r="F35" s="49"/>
      <c r="G35" s="49"/>
      <c r="H35" s="49"/>
      <c r="I35" s="49"/>
      <c r="J35" s="49"/>
      <c r="K35" s="94"/>
      <c r="L35" s="102" t="s">
        <v>119</v>
      </c>
    </row>
    <row r="36" spans="1:12" x14ac:dyDescent="0.25">
      <c r="A36" s="96" t="s">
        <v>120</v>
      </c>
      <c r="B36" s="69" t="s">
        <v>121</v>
      </c>
      <c r="C36" s="66"/>
      <c r="D36" s="89"/>
      <c r="E36" s="89"/>
      <c r="F36" s="89"/>
      <c r="G36" s="89"/>
      <c r="H36" s="89"/>
      <c r="I36" s="49"/>
      <c r="J36" s="49"/>
      <c r="K36" s="94"/>
      <c r="L36" s="100"/>
    </row>
    <row r="37" spans="1:12" x14ac:dyDescent="0.25">
      <c r="A37" s="67" t="s">
        <v>122</v>
      </c>
      <c r="B37" s="69" t="s">
        <v>123</v>
      </c>
      <c r="C37" s="66"/>
      <c r="D37" s="89"/>
      <c r="E37" s="89"/>
      <c r="F37" s="89"/>
      <c r="G37" s="89"/>
      <c r="H37" s="89"/>
      <c r="I37" s="49"/>
      <c r="J37" s="49"/>
      <c r="K37" s="94"/>
      <c r="L37" s="100"/>
    </row>
    <row r="38" spans="1:12" x14ac:dyDescent="0.25">
      <c r="A38" s="67" t="s">
        <v>124</v>
      </c>
      <c r="B38" s="69" t="s">
        <v>114</v>
      </c>
      <c r="C38" s="66"/>
      <c r="D38" s="89"/>
      <c r="E38" s="89"/>
      <c r="F38" s="89"/>
      <c r="G38" s="89"/>
      <c r="H38" s="89"/>
      <c r="I38" s="49"/>
      <c r="J38" s="49"/>
      <c r="K38" s="94"/>
      <c r="L38" s="100"/>
    </row>
    <row r="39" spans="1:12" x14ac:dyDescent="0.25">
      <c r="A39" s="67" t="s">
        <v>125</v>
      </c>
      <c r="B39" s="69" t="s">
        <v>126</v>
      </c>
      <c r="C39" s="66"/>
      <c r="D39" s="89"/>
      <c r="E39" s="89"/>
      <c r="F39" s="89"/>
      <c r="G39" s="89"/>
      <c r="H39" s="89"/>
      <c r="I39" s="49"/>
      <c r="J39" s="49"/>
      <c r="K39" s="94"/>
      <c r="L39" s="100"/>
    </row>
    <row r="40" spans="1:12" ht="45" x14ac:dyDescent="0.25">
      <c r="A40" s="64" t="s">
        <v>127</v>
      </c>
      <c r="B40" s="65" t="s">
        <v>128</v>
      </c>
      <c r="C40" s="66"/>
      <c r="D40" s="89"/>
      <c r="E40" s="89"/>
      <c r="F40" s="89"/>
      <c r="G40" s="89"/>
      <c r="H40" s="89"/>
      <c r="I40" s="49"/>
      <c r="J40" s="49"/>
      <c r="K40" s="94"/>
      <c r="L40" s="102" t="s">
        <v>119</v>
      </c>
    </row>
    <row r="41" spans="1:12" ht="45" x14ac:dyDescent="0.25">
      <c r="A41" s="64" t="s">
        <v>129</v>
      </c>
      <c r="B41" s="65" t="s">
        <v>130</v>
      </c>
      <c r="C41" s="66"/>
      <c r="D41" s="89"/>
      <c r="E41" s="89"/>
      <c r="F41" s="89"/>
      <c r="G41" s="89"/>
      <c r="H41" s="89"/>
      <c r="I41" s="49"/>
      <c r="J41" s="49"/>
      <c r="K41" s="94"/>
      <c r="L41" s="102" t="s">
        <v>119</v>
      </c>
    </row>
    <row r="42" spans="1:12" ht="45" x14ac:dyDescent="0.25">
      <c r="A42" s="64" t="s">
        <v>131</v>
      </c>
      <c r="B42" s="65" t="s">
        <v>132</v>
      </c>
      <c r="C42" s="66"/>
      <c r="D42" s="89"/>
      <c r="E42" s="89"/>
      <c r="F42" s="89"/>
      <c r="G42" s="89"/>
      <c r="H42" s="89"/>
      <c r="I42" s="49"/>
      <c r="J42" s="49"/>
      <c r="K42" s="94"/>
      <c r="L42" s="102" t="s">
        <v>119</v>
      </c>
    </row>
    <row r="43" spans="1:12" x14ac:dyDescent="0.25">
      <c r="A43" s="70" t="s">
        <v>133</v>
      </c>
      <c r="B43" s="68" t="s">
        <v>132</v>
      </c>
      <c r="C43" s="66"/>
      <c r="D43" s="89"/>
      <c r="E43" s="89"/>
      <c r="F43" s="89"/>
      <c r="G43" s="89"/>
      <c r="H43" s="89"/>
      <c r="I43" s="49"/>
      <c r="J43" s="49"/>
      <c r="K43" s="94"/>
      <c r="L43" s="100"/>
    </row>
    <row r="44" spans="1:12" x14ac:dyDescent="0.25">
      <c r="A44" s="70" t="s">
        <v>134</v>
      </c>
      <c r="B44" s="68" t="s">
        <v>135</v>
      </c>
      <c r="C44" s="66"/>
      <c r="D44" s="89"/>
      <c r="E44" s="89"/>
      <c r="F44" s="89"/>
      <c r="G44" s="89"/>
      <c r="H44" s="89"/>
      <c r="I44" s="49"/>
      <c r="J44" s="49"/>
      <c r="K44" s="94"/>
      <c r="L44" s="100"/>
    </row>
    <row r="45" spans="1:12" ht="21" x14ac:dyDescent="0.25">
      <c r="A45" s="71"/>
      <c r="B45" s="72"/>
      <c r="C45" s="66"/>
      <c r="D45" s="49"/>
      <c r="E45" s="49"/>
      <c r="F45" s="49"/>
      <c r="G45" s="49"/>
      <c r="H45" s="49"/>
      <c r="I45" s="49"/>
      <c r="J45" s="49"/>
      <c r="K45" s="94"/>
      <c r="L45" s="49"/>
    </row>
    <row r="46" spans="1:12" x14ac:dyDescent="0.25">
      <c r="A46" s="73"/>
      <c r="B46" s="73"/>
      <c r="C46" s="74"/>
      <c r="D46" s="49"/>
      <c r="E46" s="49"/>
      <c r="F46" s="49"/>
      <c r="G46" s="49"/>
      <c r="H46" s="49"/>
      <c r="I46" s="49"/>
      <c r="J46" s="49"/>
      <c r="K46" s="94"/>
      <c r="L46" s="49"/>
    </row>
    <row r="47" spans="1:12" ht="23.25" x14ac:dyDescent="0.25">
      <c r="A47" s="75"/>
      <c r="B47" s="76" t="s">
        <v>136</v>
      </c>
      <c r="C47" s="66"/>
      <c r="D47" s="49"/>
      <c r="E47" s="49"/>
      <c r="F47" s="49"/>
      <c r="G47" s="49"/>
      <c r="H47" s="49"/>
      <c r="I47" s="49"/>
      <c r="J47" s="49"/>
      <c r="K47" s="94"/>
      <c r="L47" s="49"/>
    </row>
    <row r="48" spans="1:12" ht="21" x14ac:dyDescent="0.25">
      <c r="A48" s="64" t="s">
        <v>133</v>
      </c>
      <c r="B48" s="65" t="s">
        <v>137</v>
      </c>
      <c r="C48" s="66"/>
      <c r="D48" s="49"/>
      <c r="E48" s="49"/>
      <c r="F48" s="49"/>
      <c r="G48" s="49"/>
      <c r="H48" s="49"/>
      <c r="I48" s="49"/>
      <c r="J48" s="49"/>
      <c r="K48" s="94"/>
      <c r="L48" s="49"/>
    </row>
    <row r="49" spans="1:12" x14ac:dyDescent="0.25">
      <c r="A49" s="96" t="s">
        <v>138</v>
      </c>
      <c r="B49" s="69" t="s">
        <v>139</v>
      </c>
      <c r="C49" s="66" t="s">
        <v>59</v>
      </c>
      <c r="D49" s="89">
        <v>44551</v>
      </c>
      <c r="E49" s="89">
        <v>44551</v>
      </c>
      <c r="F49" s="89">
        <v>44551</v>
      </c>
      <c r="G49" s="89">
        <v>44551</v>
      </c>
      <c r="H49" s="89">
        <v>44551</v>
      </c>
      <c r="I49" s="49"/>
      <c r="J49" s="49"/>
      <c r="K49" s="94"/>
      <c r="L49" s="49"/>
    </row>
    <row r="50" spans="1:12" x14ac:dyDescent="0.25">
      <c r="A50" s="67" t="s">
        <v>140</v>
      </c>
      <c r="B50" s="69" t="s">
        <v>141</v>
      </c>
      <c r="C50" s="66" t="s">
        <v>59</v>
      </c>
      <c r="D50" s="89">
        <v>44551</v>
      </c>
      <c r="E50" s="89">
        <v>44551</v>
      </c>
      <c r="F50" s="89">
        <v>44551</v>
      </c>
      <c r="G50" s="89">
        <v>44551</v>
      </c>
      <c r="H50" s="89">
        <v>44551</v>
      </c>
      <c r="I50" s="49"/>
      <c r="J50" s="49"/>
      <c r="K50" s="94"/>
      <c r="L50" s="49"/>
    </row>
    <row r="51" spans="1:12" x14ac:dyDescent="0.25">
      <c r="A51" s="67" t="s">
        <v>142</v>
      </c>
      <c r="B51" s="69" t="s">
        <v>143</v>
      </c>
      <c r="C51" s="66" t="s">
        <v>59</v>
      </c>
      <c r="D51" s="89">
        <v>44551</v>
      </c>
      <c r="E51" s="89">
        <v>44551</v>
      </c>
      <c r="F51" s="89">
        <v>44551</v>
      </c>
      <c r="G51" s="89">
        <v>44551</v>
      </c>
      <c r="H51" s="89">
        <v>44551</v>
      </c>
      <c r="I51" s="49"/>
      <c r="J51" s="49"/>
      <c r="K51" s="94"/>
      <c r="L51" s="49"/>
    </row>
    <row r="52" spans="1:12" x14ac:dyDescent="0.25">
      <c r="A52" s="67" t="s">
        <v>144</v>
      </c>
      <c r="B52" s="69" t="s">
        <v>145</v>
      </c>
      <c r="C52" s="66" t="s">
        <v>59</v>
      </c>
      <c r="D52" s="89">
        <v>44551</v>
      </c>
      <c r="E52" s="89">
        <v>44551</v>
      </c>
      <c r="F52" s="89">
        <v>44551</v>
      </c>
      <c r="G52" s="89">
        <v>44551</v>
      </c>
      <c r="H52" s="89">
        <v>44551</v>
      </c>
      <c r="I52" s="49"/>
      <c r="J52" s="49"/>
      <c r="K52" s="94"/>
      <c r="L52" s="49"/>
    </row>
    <row r="53" spans="1:12" x14ac:dyDescent="0.25">
      <c r="A53" s="67" t="s">
        <v>146</v>
      </c>
      <c r="B53" s="69" t="s">
        <v>147</v>
      </c>
      <c r="C53" s="66" t="s">
        <v>59</v>
      </c>
      <c r="D53" s="89">
        <v>44551</v>
      </c>
      <c r="E53" s="89">
        <v>44551</v>
      </c>
      <c r="F53" s="89">
        <v>44551</v>
      </c>
      <c r="G53" s="89">
        <v>44551</v>
      </c>
      <c r="H53" s="89">
        <v>44551</v>
      </c>
      <c r="I53" s="49"/>
      <c r="J53" s="49"/>
      <c r="K53" s="94"/>
      <c r="L53" s="49"/>
    </row>
    <row r="54" spans="1:12" x14ac:dyDescent="0.25">
      <c r="A54" s="67" t="s">
        <v>148</v>
      </c>
      <c r="B54" s="69" t="s">
        <v>149</v>
      </c>
      <c r="C54" s="66" t="s">
        <v>59</v>
      </c>
      <c r="D54" s="89">
        <v>44551</v>
      </c>
      <c r="E54" s="89">
        <v>44551</v>
      </c>
      <c r="F54" s="89">
        <v>44551</v>
      </c>
      <c r="G54" s="89">
        <v>44551</v>
      </c>
      <c r="H54" s="89">
        <v>44551</v>
      </c>
      <c r="I54" s="49"/>
      <c r="J54" s="49"/>
      <c r="K54" s="94"/>
      <c r="L54" s="49"/>
    </row>
    <row r="55" spans="1:12" x14ac:dyDescent="0.25">
      <c r="A55" s="67" t="s">
        <v>150</v>
      </c>
      <c r="B55" s="69" t="s">
        <v>151</v>
      </c>
      <c r="C55" s="66" t="s">
        <v>59</v>
      </c>
      <c r="D55" s="89">
        <v>44551</v>
      </c>
      <c r="E55" s="89">
        <v>44551</v>
      </c>
      <c r="F55" s="89">
        <v>44551</v>
      </c>
      <c r="G55" s="89">
        <v>44551</v>
      </c>
      <c r="H55" s="89">
        <v>44551</v>
      </c>
      <c r="I55" s="49"/>
      <c r="J55" s="49"/>
      <c r="K55" s="94"/>
      <c r="L55" s="49"/>
    </row>
    <row r="56" spans="1:12" x14ac:dyDescent="0.25">
      <c r="A56" s="67" t="s">
        <v>152</v>
      </c>
      <c r="B56" s="69" t="s">
        <v>153</v>
      </c>
      <c r="C56" s="66" t="s">
        <v>59</v>
      </c>
      <c r="D56" s="89">
        <v>44551</v>
      </c>
      <c r="E56" s="89">
        <v>44551</v>
      </c>
      <c r="F56" s="89">
        <v>44551</v>
      </c>
      <c r="G56" s="89">
        <v>44551</v>
      </c>
      <c r="H56" s="89">
        <v>44551</v>
      </c>
      <c r="I56" s="49"/>
      <c r="J56" s="49"/>
      <c r="K56" s="94"/>
      <c r="L56" s="49"/>
    </row>
    <row r="57" spans="1:12" x14ac:dyDescent="0.25">
      <c r="A57" s="67" t="s">
        <v>154</v>
      </c>
      <c r="B57" s="69" t="s">
        <v>155</v>
      </c>
      <c r="C57" s="66" t="s">
        <v>59</v>
      </c>
      <c r="D57" s="89">
        <v>44551</v>
      </c>
      <c r="E57" s="89">
        <v>44551</v>
      </c>
      <c r="F57" s="89">
        <v>44551</v>
      </c>
      <c r="G57" s="89">
        <v>44551</v>
      </c>
      <c r="H57" s="89">
        <v>44551</v>
      </c>
      <c r="I57" s="49"/>
      <c r="J57" s="49"/>
      <c r="K57" s="94"/>
      <c r="L57" s="49"/>
    </row>
    <row r="58" spans="1:12" ht="21" x14ac:dyDescent="0.25">
      <c r="A58" s="64" t="s">
        <v>134</v>
      </c>
      <c r="B58" s="65" t="s">
        <v>156</v>
      </c>
      <c r="C58" s="66"/>
      <c r="D58" s="49"/>
      <c r="E58" s="49"/>
      <c r="F58" s="49"/>
      <c r="G58" s="49"/>
      <c r="H58" s="49"/>
      <c r="I58" s="49"/>
      <c r="J58" s="49"/>
      <c r="K58" s="94"/>
      <c r="L58" s="49"/>
    </row>
    <row r="59" spans="1:12" x14ac:dyDescent="0.25">
      <c r="A59" s="96" t="s">
        <v>157</v>
      </c>
      <c r="B59" s="69" t="s">
        <v>81</v>
      </c>
      <c r="C59" s="66" t="s">
        <v>59</v>
      </c>
      <c r="D59" s="89">
        <v>44551</v>
      </c>
      <c r="E59" s="89">
        <v>44551</v>
      </c>
      <c r="F59" s="89">
        <v>44551</v>
      </c>
      <c r="G59" s="89">
        <v>44551</v>
      </c>
      <c r="H59" s="89">
        <v>44551</v>
      </c>
      <c r="I59" s="49"/>
      <c r="J59" s="49"/>
      <c r="K59" s="94"/>
      <c r="L59" s="49"/>
    </row>
    <row r="60" spans="1:12" x14ac:dyDescent="0.25">
      <c r="A60" s="67" t="s">
        <v>158</v>
      </c>
      <c r="B60" s="69" t="s">
        <v>83</v>
      </c>
      <c r="C60" s="66" t="s">
        <v>59</v>
      </c>
      <c r="D60" s="89">
        <v>44551</v>
      </c>
      <c r="E60" s="89">
        <v>44551</v>
      </c>
      <c r="F60" s="89">
        <v>44551</v>
      </c>
      <c r="G60" s="89">
        <v>44551</v>
      </c>
      <c r="H60" s="89">
        <v>44551</v>
      </c>
      <c r="I60" s="49"/>
      <c r="J60" s="49"/>
      <c r="K60" s="94"/>
      <c r="L60" s="49"/>
    </row>
    <row r="61" spans="1:12" x14ac:dyDescent="0.25">
      <c r="A61" s="67" t="s">
        <v>159</v>
      </c>
      <c r="B61" s="69" t="s">
        <v>85</v>
      </c>
      <c r="C61" s="66" t="s">
        <v>59</v>
      </c>
      <c r="D61" s="89">
        <v>44551</v>
      </c>
      <c r="E61" s="89">
        <v>44551</v>
      </c>
      <c r="F61" s="89">
        <v>44551</v>
      </c>
      <c r="G61" s="89">
        <v>44551</v>
      </c>
      <c r="H61" s="89">
        <v>44551</v>
      </c>
      <c r="I61" s="49"/>
      <c r="J61" s="49"/>
      <c r="K61" s="94"/>
      <c r="L61" s="49"/>
    </row>
    <row r="62" spans="1:12" x14ac:dyDescent="0.25">
      <c r="A62" s="67" t="s">
        <v>160</v>
      </c>
      <c r="B62" s="69" t="s">
        <v>161</v>
      </c>
      <c r="C62" s="66" t="s">
        <v>59</v>
      </c>
      <c r="D62" s="89">
        <v>44551</v>
      </c>
      <c r="E62" s="89">
        <v>44551</v>
      </c>
      <c r="F62" s="89">
        <v>44551</v>
      </c>
      <c r="G62" s="89">
        <v>44551</v>
      </c>
      <c r="H62" s="89">
        <v>44551</v>
      </c>
      <c r="I62" s="49"/>
      <c r="J62" s="49"/>
      <c r="K62" s="94"/>
      <c r="L62" s="49"/>
    </row>
    <row r="63" spans="1:12" x14ac:dyDescent="0.25">
      <c r="A63" s="67" t="s">
        <v>162</v>
      </c>
      <c r="B63" s="69" t="s">
        <v>163</v>
      </c>
      <c r="C63" s="66" t="s">
        <v>59</v>
      </c>
      <c r="D63" s="89">
        <v>44551</v>
      </c>
      <c r="E63" s="89">
        <v>44551</v>
      </c>
      <c r="F63" s="89">
        <v>44551</v>
      </c>
      <c r="G63" s="89">
        <v>44551</v>
      </c>
      <c r="H63" s="89">
        <v>44551</v>
      </c>
      <c r="I63" s="49"/>
      <c r="J63" s="49"/>
      <c r="K63" s="94"/>
      <c r="L63" s="49"/>
    </row>
    <row r="64" spans="1:12" ht="21" x14ac:dyDescent="0.25">
      <c r="A64" s="64" t="s">
        <v>164</v>
      </c>
      <c r="B64" s="65" t="s">
        <v>165</v>
      </c>
      <c r="C64" s="66"/>
      <c r="D64" s="89"/>
      <c r="E64" s="89"/>
      <c r="F64" s="89"/>
      <c r="G64" s="89"/>
      <c r="H64" s="89"/>
      <c r="I64" s="49"/>
      <c r="J64" s="49"/>
      <c r="K64" s="94"/>
      <c r="L64" s="49"/>
    </row>
    <row r="65" spans="1:12" x14ac:dyDescent="0.25">
      <c r="A65" s="96" t="s">
        <v>166</v>
      </c>
      <c r="B65" s="69" t="s">
        <v>167</v>
      </c>
      <c r="C65" s="66" t="s">
        <v>59</v>
      </c>
      <c r="D65" s="89">
        <v>44551</v>
      </c>
      <c r="E65" s="89">
        <v>44551</v>
      </c>
      <c r="F65" s="89">
        <v>44551</v>
      </c>
      <c r="G65" s="89">
        <v>44551</v>
      </c>
      <c r="H65" s="89">
        <v>44551</v>
      </c>
      <c r="I65" s="49"/>
      <c r="J65" s="49"/>
      <c r="K65" s="94"/>
      <c r="L65" s="49"/>
    </row>
    <row r="66" spans="1:12" x14ac:dyDescent="0.25">
      <c r="A66" s="67" t="s">
        <v>168</v>
      </c>
      <c r="B66" s="69" t="s">
        <v>169</v>
      </c>
      <c r="C66" s="66" t="s">
        <v>59</v>
      </c>
      <c r="D66" s="89">
        <v>44551</v>
      </c>
      <c r="E66" s="89">
        <v>44551</v>
      </c>
      <c r="F66" s="89">
        <v>44551</v>
      </c>
      <c r="G66" s="89">
        <v>44551</v>
      </c>
      <c r="H66" s="89">
        <v>44551</v>
      </c>
      <c r="I66" s="49"/>
      <c r="J66" s="49"/>
      <c r="K66" s="94"/>
      <c r="L66" s="49"/>
    </row>
    <row r="67" spans="1:12" x14ac:dyDescent="0.25">
      <c r="A67" s="67" t="s">
        <v>170</v>
      </c>
      <c r="B67" s="69" t="s">
        <v>171</v>
      </c>
      <c r="C67" s="66" t="s">
        <v>59</v>
      </c>
      <c r="D67" s="89">
        <v>44551</v>
      </c>
      <c r="E67" s="89">
        <v>44551</v>
      </c>
      <c r="F67" s="89">
        <v>44551</v>
      </c>
      <c r="G67" s="89">
        <v>44551</v>
      </c>
      <c r="H67" s="89">
        <v>44551</v>
      </c>
      <c r="I67" s="49"/>
      <c r="J67" s="49"/>
      <c r="K67" s="94"/>
      <c r="L67" s="49"/>
    </row>
    <row r="68" spans="1:12" x14ac:dyDescent="0.25">
      <c r="A68" s="67" t="s">
        <v>172</v>
      </c>
      <c r="B68" s="69" t="s">
        <v>173</v>
      </c>
      <c r="C68" s="66" t="s">
        <v>59</v>
      </c>
      <c r="D68" s="89">
        <v>44551</v>
      </c>
      <c r="E68" s="89">
        <v>44551</v>
      </c>
      <c r="F68" s="89">
        <v>44551</v>
      </c>
      <c r="G68" s="89">
        <v>44551</v>
      </c>
      <c r="H68" s="89">
        <v>44551</v>
      </c>
      <c r="I68" s="49"/>
      <c r="J68" s="49"/>
      <c r="K68" s="94"/>
      <c r="L68" s="49"/>
    </row>
    <row r="69" spans="1:12" ht="21" x14ac:dyDescent="0.25">
      <c r="A69" s="64" t="s">
        <v>174</v>
      </c>
      <c r="B69" s="65" t="s">
        <v>175</v>
      </c>
      <c r="C69" s="66"/>
      <c r="D69" s="49"/>
      <c r="E69" s="49"/>
      <c r="F69" s="49"/>
      <c r="G69" s="49"/>
      <c r="H69" s="49"/>
      <c r="I69" s="49"/>
      <c r="J69" s="49"/>
      <c r="K69" s="94"/>
      <c r="L69" s="49"/>
    </row>
    <row r="70" spans="1:12" x14ac:dyDescent="0.25">
      <c r="A70" s="67" t="s">
        <v>176</v>
      </c>
      <c r="B70" s="69" t="s">
        <v>177</v>
      </c>
      <c r="C70" s="66" t="s">
        <v>59</v>
      </c>
      <c r="D70" s="89">
        <v>44551</v>
      </c>
      <c r="E70" s="89">
        <v>44551</v>
      </c>
      <c r="F70" s="89">
        <v>44551</v>
      </c>
      <c r="G70" s="89">
        <v>44551</v>
      </c>
      <c r="H70" s="89">
        <v>44551</v>
      </c>
      <c r="I70" s="49"/>
      <c r="J70" s="49"/>
      <c r="K70" s="94"/>
      <c r="L70" s="49"/>
    </row>
    <row r="71" spans="1:12" x14ac:dyDescent="0.25">
      <c r="A71" s="67" t="s">
        <v>178</v>
      </c>
      <c r="B71" s="69" t="s">
        <v>179</v>
      </c>
      <c r="C71" s="66" t="s">
        <v>59</v>
      </c>
      <c r="D71" s="89">
        <v>44551</v>
      </c>
      <c r="E71" s="89">
        <v>44551</v>
      </c>
      <c r="F71" s="89">
        <v>44551</v>
      </c>
      <c r="G71" s="89">
        <v>44551</v>
      </c>
      <c r="H71" s="89">
        <v>44551</v>
      </c>
      <c r="I71" s="49"/>
      <c r="J71" s="49"/>
      <c r="K71" s="94"/>
      <c r="L71" s="49"/>
    </row>
    <row r="72" spans="1:12" x14ac:dyDescent="0.25">
      <c r="A72" s="67" t="s">
        <v>180</v>
      </c>
      <c r="B72" s="69" t="s">
        <v>181</v>
      </c>
      <c r="C72" s="66" t="s">
        <v>59</v>
      </c>
      <c r="D72" s="89">
        <v>44551</v>
      </c>
      <c r="E72" s="89">
        <v>44551</v>
      </c>
      <c r="F72" s="89">
        <v>44551</v>
      </c>
      <c r="G72" s="89">
        <v>44551</v>
      </c>
      <c r="H72" s="89">
        <v>44551</v>
      </c>
      <c r="I72" s="49"/>
      <c r="J72" s="49"/>
      <c r="K72" s="94"/>
      <c r="L72" s="49"/>
    </row>
    <row r="73" spans="1:12" x14ac:dyDescent="0.25">
      <c r="A73" s="67" t="s">
        <v>182</v>
      </c>
      <c r="B73" s="69" t="s">
        <v>183</v>
      </c>
      <c r="C73" s="66" t="s">
        <v>59</v>
      </c>
      <c r="D73" s="89">
        <v>44551</v>
      </c>
      <c r="E73" s="89">
        <v>44551</v>
      </c>
      <c r="F73" s="89">
        <v>44551</v>
      </c>
      <c r="G73" s="89">
        <v>44551</v>
      </c>
      <c r="H73" s="89">
        <v>44551</v>
      </c>
      <c r="I73" s="49"/>
      <c r="J73" s="49"/>
      <c r="K73" s="94"/>
      <c r="L73" s="49"/>
    </row>
    <row r="74" spans="1:12" ht="45" x14ac:dyDescent="0.25">
      <c r="A74" s="64" t="s">
        <v>184</v>
      </c>
      <c r="B74" s="65" t="s">
        <v>185</v>
      </c>
      <c r="C74" s="66"/>
      <c r="D74" s="49"/>
      <c r="E74" s="49"/>
      <c r="F74" s="49"/>
      <c r="G74" s="49"/>
      <c r="H74" s="49"/>
      <c r="I74" s="49"/>
      <c r="J74" s="49"/>
      <c r="K74" s="94"/>
      <c r="L74" s="102" t="s">
        <v>119</v>
      </c>
    </row>
    <row r="75" spans="1:12" x14ac:dyDescent="0.25">
      <c r="A75" s="67" t="s">
        <v>186</v>
      </c>
      <c r="B75" s="69" t="s">
        <v>187</v>
      </c>
      <c r="C75" s="66"/>
      <c r="D75" s="89"/>
      <c r="E75" s="89"/>
      <c r="F75" s="89"/>
      <c r="G75" s="89"/>
      <c r="H75" s="89"/>
      <c r="I75" s="49"/>
      <c r="J75" s="49"/>
      <c r="K75" s="94"/>
      <c r="L75" s="100"/>
    </row>
    <row r="76" spans="1:12" x14ac:dyDescent="0.25">
      <c r="A76" s="67" t="s">
        <v>188</v>
      </c>
      <c r="B76" s="69" t="s">
        <v>189</v>
      </c>
      <c r="C76" s="66"/>
      <c r="D76" s="89"/>
      <c r="E76" s="89"/>
      <c r="F76" s="89"/>
      <c r="G76" s="89"/>
      <c r="H76" s="89"/>
      <c r="I76" s="49"/>
      <c r="J76" s="49"/>
      <c r="K76" s="94"/>
      <c r="L76" s="100"/>
    </row>
    <row r="77" spans="1:12" x14ac:dyDescent="0.25">
      <c r="A77" s="67" t="s">
        <v>190</v>
      </c>
      <c r="B77" s="69" t="s">
        <v>191</v>
      </c>
      <c r="C77" s="66"/>
      <c r="D77" s="89"/>
      <c r="E77" s="89"/>
      <c r="F77" s="89"/>
      <c r="G77" s="89"/>
      <c r="H77" s="89"/>
      <c r="I77" s="49"/>
      <c r="J77" s="49"/>
      <c r="K77" s="94"/>
      <c r="L77" s="100"/>
    </row>
    <row r="78" spans="1:12" x14ac:dyDescent="0.25">
      <c r="A78" s="67" t="s">
        <v>192</v>
      </c>
      <c r="B78" s="69" t="s">
        <v>193</v>
      </c>
      <c r="C78" s="66"/>
      <c r="D78" s="89"/>
      <c r="E78" s="89"/>
      <c r="F78" s="89"/>
      <c r="G78" s="89"/>
      <c r="H78" s="89"/>
      <c r="I78" s="49"/>
      <c r="J78" s="49"/>
      <c r="K78" s="94"/>
      <c r="L78" s="100"/>
    </row>
    <row r="79" spans="1:12" ht="45" x14ac:dyDescent="0.25">
      <c r="A79" s="64" t="s">
        <v>194</v>
      </c>
      <c r="B79" s="65" t="s">
        <v>195</v>
      </c>
      <c r="C79" s="66"/>
      <c r="D79" s="49"/>
      <c r="E79" s="49"/>
      <c r="F79" s="49"/>
      <c r="G79" s="49"/>
      <c r="H79" s="49"/>
      <c r="I79" s="49"/>
      <c r="J79" s="49"/>
      <c r="K79" s="94"/>
      <c r="L79" s="102" t="s">
        <v>119</v>
      </c>
    </row>
    <row r="80" spans="1:12" x14ac:dyDescent="0.25">
      <c r="A80" s="67" t="s">
        <v>196</v>
      </c>
      <c r="B80" s="69" t="s">
        <v>197</v>
      </c>
      <c r="C80" s="66"/>
      <c r="D80" s="89"/>
      <c r="E80" s="89"/>
      <c r="F80" s="89"/>
      <c r="G80" s="89"/>
      <c r="H80" s="89"/>
      <c r="I80" s="49"/>
      <c r="J80" s="49"/>
      <c r="K80" s="94"/>
      <c r="L80" s="100"/>
    </row>
    <row r="81" spans="1:12" x14ac:dyDescent="0.25">
      <c r="A81" s="67" t="s">
        <v>198</v>
      </c>
      <c r="B81" s="69" t="s">
        <v>199</v>
      </c>
      <c r="C81" s="66"/>
      <c r="D81" s="89"/>
      <c r="E81" s="89"/>
      <c r="F81" s="89"/>
      <c r="G81" s="89"/>
      <c r="H81" s="89"/>
      <c r="I81" s="49"/>
      <c r="J81" s="49"/>
      <c r="K81" s="94"/>
      <c r="L81" s="100"/>
    </row>
    <row r="82" spans="1:12" x14ac:dyDescent="0.25">
      <c r="A82" s="67" t="s">
        <v>200</v>
      </c>
      <c r="B82" s="69" t="s">
        <v>201</v>
      </c>
      <c r="C82" s="66"/>
      <c r="D82" s="89"/>
      <c r="E82" s="89"/>
      <c r="F82" s="89"/>
      <c r="G82" s="89"/>
      <c r="H82" s="89"/>
      <c r="I82" s="49"/>
      <c r="J82" s="49"/>
      <c r="K82" s="94"/>
      <c r="L82" s="100"/>
    </row>
    <row r="83" spans="1:12" x14ac:dyDescent="0.25">
      <c r="A83" s="67" t="s">
        <v>202</v>
      </c>
      <c r="B83" s="69" t="s">
        <v>203</v>
      </c>
      <c r="C83" s="66"/>
      <c r="D83" s="89"/>
      <c r="E83" s="89"/>
      <c r="F83" s="89"/>
      <c r="G83" s="89"/>
      <c r="H83" s="89"/>
      <c r="I83" s="49"/>
      <c r="J83" s="49"/>
      <c r="K83" s="94"/>
      <c r="L83" s="100"/>
    </row>
    <row r="84" spans="1:12" ht="45" x14ac:dyDescent="0.25">
      <c r="A84" s="64" t="s">
        <v>204</v>
      </c>
      <c r="B84" s="65" t="s">
        <v>205</v>
      </c>
      <c r="C84" s="66"/>
      <c r="D84" s="49"/>
      <c r="E84" s="49"/>
      <c r="F84" s="49"/>
      <c r="G84" s="49"/>
      <c r="H84" s="49"/>
      <c r="I84" s="49"/>
      <c r="J84" s="49"/>
      <c r="K84" s="94"/>
      <c r="L84" s="102" t="s">
        <v>119</v>
      </c>
    </row>
    <row r="85" spans="1:12" x14ac:dyDescent="0.25">
      <c r="A85" s="67" t="s">
        <v>206</v>
      </c>
      <c r="B85" s="69" t="s">
        <v>207</v>
      </c>
      <c r="C85" s="66"/>
      <c r="D85" s="89"/>
      <c r="E85" s="89"/>
      <c r="F85" s="89"/>
      <c r="G85" s="89"/>
      <c r="H85" s="89"/>
      <c r="I85" s="49"/>
      <c r="J85" s="49"/>
      <c r="K85" s="94"/>
      <c r="L85" s="100"/>
    </row>
    <row r="86" spans="1:12" x14ac:dyDescent="0.25">
      <c r="A86" s="67" t="s">
        <v>208</v>
      </c>
      <c r="B86" s="69" t="s">
        <v>209</v>
      </c>
      <c r="C86" s="66"/>
      <c r="D86" s="89"/>
      <c r="E86" s="89"/>
      <c r="F86" s="89"/>
      <c r="G86" s="89"/>
      <c r="H86" s="89"/>
      <c r="I86" s="49"/>
      <c r="J86" s="49"/>
      <c r="K86" s="94"/>
      <c r="L86" s="100"/>
    </row>
    <row r="87" spans="1:12" x14ac:dyDescent="0.25">
      <c r="A87" s="67" t="s">
        <v>210</v>
      </c>
      <c r="B87" s="69" t="s">
        <v>211</v>
      </c>
      <c r="C87" s="66"/>
      <c r="D87" s="89"/>
      <c r="E87" s="89"/>
      <c r="F87" s="89"/>
      <c r="G87" s="89"/>
      <c r="H87" s="89"/>
      <c r="I87" s="49"/>
      <c r="J87" s="49"/>
      <c r="K87" s="94"/>
      <c r="L87" s="100"/>
    </row>
    <row r="88" spans="1:12" x14ac:dyDescent="0.25">
      <c r="A88" s="67" t="s">
        <v>212</v>
      </c>
      <c r="B88" s="69" t="s">
        <v>213</v>
      </c>
      <c r="C88" s="66"/>
      <c r="D88" s="89"/>
      <c r="E88" s="89"/>
      <c r="F88" s="89"/>
      <c r="G88" s="89"/>
      <c r="H88" s="89"/>
      <c r="I88" s="49"/>
      <c r="J88" s="49"/>
      <c r="K88" s="94"/>
      <c r="L88" s="100"/>
    </row>
    <row r="89" spans="1:12" x14ac:dyDescent="0.25">
      <c r="A89" s="67" t="s">
        <v>214</v>
      </c>
      <c r="B89" s="69" t="s">
        <v>215</v>
      </c>
      <c r="C89" s="66"/>
      <c r="D89" s="89"/>
      <c r="E89" s="89"/>
      <c r="F89" s="89"/>
      <c r="G89" s="89"/>
      <c r="H89" s="89"/>
      <c r="I89" s="49"/>
      <c r="J89" s="49"/>
      <c r="K89" s="94"/>
      <c r="L89" s="100"/>
    </row>
    <row r="90" spans="1:12" x14ac:dyDescent="0.25">
      <c r="A90" s="67"/>
      <c r="B90" s="77"/>
      <c r="C90" s="66"/>
      <c r="D90" s="89"/>
      <c r="E90" s="89"/>
      <c r="F90" s="89"/>
      <c r="G90" s="89"/>
      <c r="H90" s="89"/>
      <c r="I90" s="49"/>
      <c r="J90" s="49"/>
      <c r="K90" s="94"/>
      <c r="L90" s="49"/>
    </row>
    <row r="91" spans="1:12" x14ac:dyDescent="0.25">
      <c r="A91" s="73" t="s">
        <v>216</v>
      </c>
      <c r="B91" s="73"/>
      <c r="C91" s="74"/>
      <c r="D91" s="49"/>
      <c r="E91" s="49"/>
      <c r="F91" s="49"/>
      <c r="G91" s="49"/>
      <c r="H91" s="49"/>
      <c r="I91" s="49"/>
      <c r="J91" s="49"/>
      <c r="K91" s="94"/>
      <c r="L91" s="49"/>
    </row>
    <row r="92" spans="1:12" ht="21" x14ac:dyDescent="0.25">
      <c r="A92" s="75"/>
      <c r="B92" s="78" t="s">
        <v>217</v>
      </c>
      <c r="C92" s="66"/>
      <c r="D92" s="49"/>
      <c r="E92" s="49"/>
      <c r="F92" s="49"/>
      <c r="G92" s="49"/>
      <c r="H92" s="49"/>
      <c r="I92" s="49"/>
      <c r="J92" s="49"/>
      <c r="K92" s="94"/>
      <c r="L92" s="49"/>
    </row>
    <row r="93" spans="1:12" ht="21" x14ac:dyDescent="0.25">
      <c r="A93" s="64" t="s">
        <v>218</v>
      </c>
      <c r="B93" s="79" t="s">
        <v>219</v>
      </c>
      <c r="C93" s="66"/>
      <c r="D93" s="49"/>
      <c r="E93" s="49"/>
      <c r="F93" s="49"/>
      <c r="G93" s="49"/>
      <c r="H93" s="49"/>
      <c r="I93" s="49"/>
      <c r="J93" s="49"/>
      <c r="K93" s="94"/>
      <c r="L93" s="49"/>
    </row>
    <row r="94" spans="1:12" x14ac:dyDescent="0.25">
      <c r="A94" s="96" t="s">
        <v>220</v>
      </c>
      <c r="B94" s="69" t="s">
        <v>221</v>
      </c>
      <c r="C94" s="66" t="s">
        <v>59</v>
      </c>
      <c r="D94" s="89">
        <v>44550</v>
      </c>
      <c r="E94" s="89">
        <v>44550</v>
      </c>
      <c r="F94" s="89"/>
      <c r="G94" s="89">
        <v>44550</v>
      </c>
      <c r="H94" s="89">
        <v>44550</v>
      </c>
      <c r="I94" s="49"/>
      <c r="J94" s="49"/>
      <c r="K94" s="94"/>
      <c r="L94" s="49"/>
    </row>
    <row r="95" spans="1:12" x14ac:dyDescent="0.25">
      <c r="A95" s="67" t="s">
        <v>222</v>
      </c>
      <c r="B95" s="69" t="s">
        <v>223</v>
      </c>
      <c r="C95" s="66" t="s">
        <v>59</v>
      </c>
      <c r="D95" s="89">
        <v>44550</v>
      </c>
      <c r="E95" s="89">
        <v>44550</v>
      </c>
      <c r="F95" s="89"/>
      <c r="G95" s="89">
        <v>44550</v>
      </c>
      <c r="H95" s="89">
        <v>44550</v>
      </c>
      <c r="I95" s="49"/>
      <c r="J95" s="49"/>
      <c r="K95" s="94"/>
      <c r="L95" s="49"/>
    </row>
    <row r="96" spans="1:12" x14ac:dyDescent="0.25">
      <c r="A96" s="67" t="s">
        <v>224</v>
      </c>
      <c r="B96" s="69" t="s">
        <v>225</v>
      </c>
      <c r="C96" s="66" t="s">
        <v>59</v>
      </c>
      <c r="D96" s="89">
        <v>44550</v>
      </c>
      <c r="E96" s="89">
        <v>44550</v>
      </c>
      <c r="F96" s="89"/>
      <c r="G96" s="89">
        <v>44550</v>
      </c>
      <c r="H96" s="89">
        <v>44550</v>
      </c>
      <c r="I96" s="49"/>
      <c r="J96" s="49"/>
      <c r="K96" s="94"/>
      <c r="L96" s="49"/>
    </row>
    <row r="97" spans="1:12" x14ac:dyDescent="0.25">
      <c r="A97" s="67" t="s">
        <v>226</v>
      </c>
      <c r="B97" s="69" t="s">
        <v>227</v>
      </c>
      <c r="C97" s="66" t="s">
        <v>59</v>
      </c>
      <c r="D97" s="89">
        <v>44550</v>
      </c>
      <c r="E97" s="89">
        <v>44550</v>
      </c>
      <c r="F97" s="89"/>
      <c r="G97" s="89">
        <v>44550</v>
      </c>
      <c r="H97" s="89">
        <v>44550</v>
      </c>
      <c r="I97" s="49"/>
      <c r="J97" s="49"/>
      <c r="K97" s="94"/>
      <c r="L97" s="49"/>
    </row>
    <row r="98" spans="1:12" x14ac:dyDescent="0.25">
      <c r="A98" s="67" t="s">
        <v>228</v>
      </c>
      <c r="B98" s="69" t="s">
        <v>229</v>
      </c>
      <c r="C98" s="66" t="s">
        <v>59</v>
      </c>
      <c r="D98" s="89">
        <v>44550</v>
      </c>
      <c r="E98" s="89">
        <v>44550</v>
      </c>
      <c r="F98" s="89"/>
      <c r="G98" s="89">
        <v>44550</v>
      </c>
      <c r="H98" s="89">
        <v>44550</v>
      </c>
      <c r="I98" s="49"/>
      <c r="J98" s="49"/>
      <c r="K98" s="94"/>
      <c r="L98" s="49"/>
    </row>
    <row r="99" spans="1:12" x14ac:dyDescent="0.25">
      <c r="A99" s="67" t="s">
        <v>230</v>
      </c>
      <c r="B99" s="69" t="s">
        <v>231</v>
      </c>
      <c r="C99" s="66" t="s">
        <v>59</v>
      </c>
      <c r="D99" s="89">
        <v>44550</v>
      </c>
      <c r="E99" s="89">
        <v>44550</v>
      </c>
      <c r="F99" s="89"/>
      <c r="G99" s="89">
        <v>44550</v>
      </c>
      <c r="H99" s="89">
        <v>44550</v>
      </c>
      <c r="I99" s="49"/>
      <c r="J99" s="49"/>
      <c r="K99" s="94"/>
      <c r="L99" s="49"/>
    </row>
    <row r="100" spans="1:12" x14ac:dyDescent="0.25">
      <c r="A100" s="67" t="s">
        <v>232</v>
      </c>
      <c r="B100" s="69" t="s">
        <v>233</v>
      </c>
      <c r="C100" s="66" t="s">
        <v>59</v>
      </c>
      <c r="D100" s="89">
        <v>44550</v>
      </c>
      <c r="E100" s="89">
        <v>44550</v>
      </c>
      <c r="F100" s="89"/>
      <c r="G100" s="89">
        <v>44550</v>
      </c>
      <c r="H100" s="89">
        <v>44550</v>
      </c>
      <c r="I100" s="49"/>
      <c r="J100" s="49"/>
      <c r="K100" s="94"/>
      <c r="L100" s="49"/>
    </row>
    <row r="101" spans="1:12" x14ac:dyDescent="0.25">
      <c r="A101" s="73" t="s">
        <v>216</v>
      </c>
      <c r="B101" s="73"/>
      <c r="C101" s="74"/>
      <c r="D101" s="49"/>
      <c r="E101" s="49"/>
      <c r="F101" s="49"/>
      <c r="G101" s="49"/>
      <c r="H101" s="49"/>
      <c r="I101" s="49"/>
      <c r="J101" s="49"/>
      <c r="K101" s="94"/>
      <c r="L101" s="49"/>
    </row>
    <row r="102" spans="1:12" ht="21" x14ac:dyDescent="0.25">
      <c r="A102" s="75"/>
      <c r="B102" s="78" t="s">
        <v>234</v>
      </c>
      <c r="C102" s="66"/>
      <c r="D102" s="49"/>
      <c r="E102" s="49"/>
      <c r="F102" s="49"/>
      <c r="G102" s="49"/>
      <c r="H102" s="49"/>
      <c r="I102" s="49"/>
      <c r="J102" s="49"/>
      <c r="K102" s="94"/>
      <c r="L102" s="49"/>
    </row>
    <row r="103" spans="1:12" ht="21" x14ac:dyDescent="0.25">
      <c r="A103" s="64" t="s">
        <v>235</v>
      </c>
      <c r="B103" s="65" t="s">
        <v>236</v>
      </c>
      <c r="C103" s="66"/>
      <c r="D103" s="49"/>
      <c r="E103" s="49"/>
      <c r="F103" s="49"/>
      <c r="G103" s="49"/>
      <c r="H103" s="49"/>
      <c r="I103" s="49"/>
      <c r="J103" s="49"/>
      <c r="K103" s="94"/>
      <c r="L103" s="49"/>
    </row>
    <row r="104" spans="1:12" x14ac:dyDescent="0.25">
      <c r="A104" s="96" t="s">
        <v>237</v>
      </c>
      <c r="B104" s="69" t="s">
        <v>238</v>
      </c>
      <c r="C104" s="66" t="s">
        <v>59</v>
      </c>
      <c r="D104" s="89">
        <v>44551</v>
      </c>
      <c r="E104" s="89">
        <v>44551</v>
      </c>
      <c r="F104" s="89">
        <v>44551</v>
      </c>
      <c r="G104" s="89">
        <v>44551</v>
      </c>
      <c r="H104" s="89">
        <v>44551</v>
      </c>
      <c r="I104" s="49"/>
      <c r="J104" s="49"/>
      <c r="K104" s="94"/>
      <c r="L104" s="49"/>
    </row>
    <row r="105" spans="1:12" x14ac:dyDescent="0.25">
      <c r="A105" s="67" t="s">
        <v>239</v>
      </c>
      <c r="B105" s="69" t="s">
        <v>240</v>
      </c>
      <c r="C105" s="66" t="s">
        <v>59</v>
      </c>
      <c r="D105" s="89">
        <v>44551</v>
      </c>
      <c r="E105" s="89">
        <v>44551</v>
      </c>
      <c r="F105" s="89">
        <v>44551</v>
      </c>
      <c r="G105" s="89">
        <v>44551</v>
      </c>
      <c r="H105" s="89">
        <v>44551</v>
      </c>
      <c r="I105" s="49"/>
      <c r="J105" s="49"/>
      <c r="K105" s="94"/>
      <c r="L105" s="49"/>
    </row>
    <row r="106" spans="1:12" x14ac:dyDescent="0.25">
      <c r="A106" s="67" t="s">
        <v>241</v>
      </c>
      <c r="B106" s="69" t="s">
        <v>242</v>
      </c>
      <c r="C106" s="66" t="s">
        <v>59</v>
      </c>
      <c r="D106" s="89">
        <v>44551</v>
      </c>
      <c r="E106" s="89">
        <v>44551</v>
      </c>
      <c r="F106" s="89">
        <v>44551</v>
      </c>
      <c r="G106" s="89">
        <v>44551</v>
      </c>
      <c r="H106" s="89">
        <v>44551</v>
      </c>
      <c r="I106" s="49"/>
      <c r="J106" s="49"/>
      <c r="K106" s="94"/>
      <c r="L106" s="49"/>
    </row>
    <row r="107" spans="1:12" x14ac:dyDescent="0.25">
      <c r="A107" s="67" t="s">
        <v>243</v>
      </c>
      <c r="B107" s="69" t="s">
        <v>244</v>
      </c>
      <c r="C107" s="66" t="s">
        <v>59</v>
      </c>
      <c r="D107" s="89">
        <v>44551</v>
      </c>
      <c r="E107" s="89">
        <v>44551</v>
      </c>
      <c r="F107" s="89">
        <v>44551</v>
      </c>
      <c r="G107" s="89">
        <v>44551</v>
      </c>
      <c r="H107" s="89">
        <v>44551</v>
      </c>
      <c r="I107" s="49"/>
      <c r="J107" s="49"/>
      <c r="K107" s="94"/>
      <c r="L107" s="49"/>
    </row>
    <row r="108" spans="1:12" x14ac:dyDescent="0.25">
      <c r="A108" s="67" t="s">
        <v>245</v>
      </c>
      <c r="B108" s="69" t="s">
        <v>246</v>
      </c>
      <c r="C108" s="66" t="s">
        <v>59</v>
      </c>
      <c r="D108" s="89">
        <v>44551</v>
      </c>
      <c r="E108" s="89">
        <v>44551</v>
      </c>
      <c r="F108" s="89">
        <v>44551</v>
      </c>
      <c r="G108" s="89">
        <v>44551</v>
      </c>
      <c r="H108" s="89">
        <v>44551</v>
      </c>
      <c r="I108" s="49"/>
      <c r="J108" s="49"/>
      <c r="K108" s="94"/>
      <c r="L108" s="49"/>
    </row>
    <row r="109" spans="1:12" x14ac:dyDescent="0.25">
      <c r="A109" s="67" t="s">
        <v>247</v>
      </c>
      <c r="B109" s="69" t="s">
        <v>248</v>
      </c>
      <c r="C109" s="66" t="s">
        <v>59</v>
      </c>
      <c r="D109" s="89">
        <v>44551</v>
      </c>
      <c r="E109" s="89">
        <v>44551</v>
      </c>
      <c r="F109" s="89">
        <v>44551</v>
      </c>
      <c r="G109" s="89">
        <v>44551</v>
      </c>
      <c r="H109" s="89">
        <v>44551</v>
      </c>
      <c r="I109" s="49"/>
      <c r="J109" s="49"/>
      <c r="K109" s="94"/>
      <c r="L109" s="49"/>
    </row>
    <row r="110" spans="1:12" x14ac:dyDescent="0.25">
      <c r="A110" s="67" t="s">
        <v>249</v>
      </c>
      <c r="B110" s="69" t="s">
        <v>250</v>
      </c>
      <c r="C110" s="66" t="s">
        <v>59</v>
      </c>
      <c r="D110" s="89">
        <v>44551</v>
      </c>
      <c r="E110" s="89">
        <v>44551</v>
      </c>
      <c r="F110" s="89">
        <v>44551</v>
      </c>
      <c r="G110" s="89">
        <v>44551</v>
      </c>
      <c r="H110" s="89">
        <v>44551</v>
      </c>
      <c r="I110" s="49"/>
      <c r="J110" s="49"/>
      <c r="K110" s="94"/>
      <c r="L110" s="49"/>
    </row>
    <row r="111" spans="1:12" x14ac:dyDescent="0.25">
      <c r="A111" s="67" t="s">
        <v>251</v>
      </c>
      <c r="B111" s="69" t="s">
        <v>252</v>
      </c>
      <c r="C111" s="66" t="s">
        <v>59</v>
      </c>
      <c r="D111" s="89">
        <v>44551</v>
      </c>
      <c r="E111" s="89">
        <v>44551</v>
      </c>
      <c r="F111" s="89">
        <v>44551</v>
      </c>
      <c r="G111" s="89">
        <v>44551</v>
      </c>
      <c r="H111" s="89">
        <v>44551</v>
      </c>
      <c r="I111" s="49"/>
      <c r="J111" s="49"/>
      <c r="K111" s="94"/>
      <c r="L111" s="49"/>
    </row>
    <row r="112" spans="1:12" x14ac:dyDescent="0.25">
      <c r="A112" s="67" t="s">
        <v>253</v>
      </c>
      <c r="B112" s="69" t="s">
        <v>254</v>
      </c>
      <c r="C112" s="66" t="s">
        <v>59</v>
      </c>
      <c r="D112" s="89">
        <v>44551</v>
      </c>
      <c r="E112" s="89">
        <v>44551</v>
      </c>
      <c r="F112" s="89">
        <v>44551</v>
      </c>
      <c r="G112" s="89">
        <v>44551</v>
      </c>
      <c r="H112" s="89">
        <v>44551</v>
      </c>
      <c r="I112" s="49"/>
      <c r="J112" s="49"/>
      <c r="K112" s="94"/>
      <c r="L112" s="49"/>
    </row>
    <row r="113" spans="1:12" x14ac:dyDescent="0.25">
      <c r="A113" s="67" t="s">
        <v>255</v>
      </c>
      <c r="B113" s="69" t="s">
        <v>252</v>
      </c>
      <c r="C113" s="66" t="s">
        <v>59</v>
      </c>
      <c r="D113" s="89">
        <v>44551</v>
      </c>
      <c r="E113" s="89">
        <v>44551</v>
      </c>
      <c r="F113" s="89">
        <v>44551</v>
      </c>
      <c r="G113" s="89">
        <v>44551</v>
      </c>
      <c r="H113" s="89">
        <v>44551</v>
      </c>
      <c r="I113" s="49"/>
      <c r="J113" s="49"/>
      <c r="K113" s="94"/>
      <c r="L113" s="49"/>
    </row>
    <row r="114" spans="1:12" x14ac:dyDescent="0.25">
      <c r="A114" s="49"/>
      <c r="B114" s="49"/>
      <c r="C114" s="49"/>
      <c r="D114" s="49"/>
      <c r="E114" s="49"/>
      <c r="F114" s="49"/>
      <c r="G114" s="49"/>
      <c r="H114" s="49"/>
      <c r="I114" s="49"/>
      <c r="J114" s="49"/>
      <c r="K114" s="94"/>
      <c r="L114" s="49"/>
    </row>
    <row r="115" spans="1:12" x14ac:dyDescent="0.25">
      <c r="A115" s="49"/>
      <c r="B115" s="49"/>
      <c r="C115" s="49"/>
      <c r="D115" s="49"/>
      <c r="E115" s="49"/>
      <c r="F115" s="49"/>
      <c r="G115" s="49"/>
      <c r="H115" s="49"/>
      <c r="I115" s="49"/>
      <c r="J115" s="49"/>
      <c r="K115" s="94"/>
      <c r="L115" s="49"/>
    </row>
  </sheetData>
  <dataValidations count="2">
    <dataValidation type="list" allowBlank="1" showInputMessage="1" showErrorMessage="1" sqref="K2:K20 K22:K27 K29:K34 K36:K44 K49:K57 K59:K63 K65:K68 K70:K73 K75:K78 K80:K83 K85:K89 K94:K100 K104:K113" xr:uid="{00000000-0002-0000-0300-000000000000}">
      <formula1>ProcessStatus</formula1>
    </dataValidation>
    <dataValidation type="list" allowBlank="1" showInputMessage="1" showErrorMessage="1" sqref="C3:C113" xr:uid="{00000000-0002-0000-0300-000001000000}">
      <formula1>Level</formula1>
    </dataValidation>
  </dataValidations>
  <hyperlinks>
    <hyperlink ref="B4" r:id="rId1" xr:uid="{00000000-0004-0000-0300-000000000000}"/>
    <hyperlink ref="B13" r:id="rId2" xr:uid="{00000000-0004-0000-0300-000001000000}"/>
    <hyperlink ref="B21" r:id="rId3" xr:uid="{00000000-0004-0000-0300-000002000000}"/>
    <hyperlink ref="B28" r:id="rId4" xr:uid="{00000000-0004-0000-0300-000003000000}"/>
    <hyperlink ref="B35" r:id="rId5" xr:uid="{00000000-0004-0000-0300-000004000000}"/>
    <hyperlink ref="B48" r:id="rId6" xr:uid="{00000000-0004-0000-0300-000005000000}"/>
    <hyperlink ref="B58" r:id="rId7" xr:uid="{00000000-0004-0000-0300-000006000000}"/>
    <hyperlink ref="B64" r:id="rId8" xr:uid="{00000000-0004-0000-0300-000007000000}"/>
    <hyperlink ref="B69" r:id="rId9" xr:uid="{00000000-0004-0000-0300-000008000000}"/>
    <hyperlink ref="B74" r:id="rId10" xr:uid="{00000000-0004-0000-0300-000009000000}"/>
    <hyperlink ref="B79" r:id="rId11" xr:uid="{00000000-0004-0000-0300-00000A000000}"/>
    <hyperlink ref="B84" r:id="rId12" xr:uid="{00000000-0004-0000-0300-00000B000000}"/>
    <hyperlink ref="B93" r:id="rId13" xr:uid="{00000000-0004-0000-0300-00000C000000}"/>
    <hyperlink ref="B103" r:id="rId14" xr:uid="{00000000-0004-0000-0300-00000D000000}"/>
    <hyperlink ref="B40" r:id="rId15" xr:uid="{00000000-0004-0000-0300-00000E000000}"/>
    <hyperlink ref="B41" r:id="rId16" xr:uid="{00000000-0004-0000-0300-00000F000000}"/>
    <hyperlink ref="B42" r:id="rId17" xr:uid="{00000000-0004-0000-0300-000010000000}"/>
    <hyperlink ref="B47" r:id="rId18" xr:uid="{00000000-0004-0000-0300-000011000000}"/>
    <hyperlink ref="B102" r:id="rId19" xr:uid="{00000000-0004-0000-0300-000012000000}"/>
    <hyperlink ref="B92" r:id="rId20" xr:uid="{00000000-0004-0000-0300-000013000000}"/>
    <hyperlink ref="B5" r:id="rId21" display="javascript:void(0)" xr:uid="{00000000-0004-0000-0300-000014000000}"/>
    <hyperlink ref="B6" r:id="rId22" display="javascript:void(0)" xr:uid="{00000000-0004-0000-0300-000015000000}"/>
    <hyperlink ref="B7" r:id="rId23" display="javascript:void(0)" xr:uid="{00000000-0004-0000-0300-000016000000}"/>
    <hyperlink ref="B8" r:id="rId24" display="javascript:void(0)" xr:uid="{00000000-0004-0000-0300-000017000000}"/>
    <hyperlink ref="B9" r:id="rId25" display="javascript:void(0)" xr:uid="{00000000-0004-0000-0300-000018000000}"/>
    <hyperlink ref="B10" r:id="rId26" display="javascript:void(0)" xr:uid="{00000000-0004-0000-0300-000019000000}"/>
    <hyperlink ref="B11" r:id="rId27" display="javascript:void(0)" xr:uid="{00000000-0004-0000-0300-00001A000000}"/>
    <hyperlink ref="B12" r:id="rId28" display="javascript:void(0)" xr:uid="{00000000-0004-0000-0300-00001B000000}"/>
    <hyperlink ref="B14" r:id="rId29" display="javascript:void(0)" xr:uid="{00000000-0004-0000-0300-00001C000000}"/>
    <hyperlink ref="B15" r:id="rId30" display="javascript:void(0)" xr:uid="{00000000-0004-0000-0300-00001D000000}"/>
    <hyperlink ref="B16" r:id="rId31" display="javascript:void(0)" xr:uid="{00000000-0004-0000-0300-00001E000000}"/>
    <hyperlink ref="B17" r:id="rId32" display="javascript:void(0)" xr:uid="{00000000-0004-0000-0300-00001F000000}"/>
    <hyperlink ref="B18" r:id="rId33" display="javascript:void(0)" xr:uid="{00000000-0004-0000-0300-000020000000}"/>
    <hyperlink ref="B19" r:id="rId34" display="javascript:void(0)" xr:uid="{00000000-0004-0000-0300-000021000000}"/>
    <hyperlink ref="B20" r:id="rId35" display="javascript:void(0)" xr:uid="{00000000-0004-0000-0300-000022000000}"/>
    <hyperlink ref="B36" r:id="rId36" display="javascript:void(0)" xr:uid="{00000000-0004-0000-0300-000023000000}"/>
    <hyperlink ref="B37" r:id="rId37" display="javascript:void(0)" xr:uid="{00000000-0004-0000-0300-000024000000}"/>
    <hyperlink ref="B38" r:id="rId38" display="javascript:void(0)" xr:uid="{00000000-0004-0000-0300-000025000000}"/>
    <hyperlink ref="B39" r:id="rId39" display="javascript:void(0)" xr:uid="{00000000-0004-0000-0300-000026000000}"/>
    <hyperlink ref="B43" r:id="rId40" display="javascript:void(0)" xr:uid="{00000000-0004-0000-0300-000027000000}"/>
    <hyperlink ref="B44" r:id="rId41" display="javascript:void(0)" xr:uid="{00000000-0004-0000-0300-000028000000}"/>
    <hyperlink ref="B29" r:id="rId42" display="javascript:void(0)" xr:uid="{00000000-0004-0000-0300-000029000000}"/>
    <hyperlink ref="B30" r:id="rId43" display="javascript:void(0)" xr:uid="{00000000-0004-0000-0300-00002A000000}"/>
    <hyperlink ref="B31" r:id="rId44" display="javascript:void(0)" xr:uid="{00000000-0004-0000-0300-00002B000000}"/>
    <hyperlink ref="B32" r:id="rId45" display="javascript:void(0)" xr:uid="{00000000-0004-0000-0300-00002C000000}"/>
    <hyperlink ref="B33" r:id="rId46" display="javascript:void(0)" xr:uid="{00000000-0004-0000-0300-00002D000000}"/>
    <hyperlink ref="B34" r:id="rId47" display="javascript:void(0)" xr:uid="{00000000-0004-0000-0300-00002E000000}"/>
    <hyperlink ref="B22" r:id="rId48" display="javascript:void(0)" xr:uid="{00000000-0004-0000-0300-00002F000000}"/>
    <hyperlink ref="B23" r:id="rId49" display="javascript:void(0)" xr:uid="{00000000-0004-0000-0300-000030000000}"/>
    <hyperlink ref="B24" r:id="rId50" display="javascript:void(0)" xr:uid="{00000000-0004-0000-0300-000031000000}"/>
    <hyperlink ref="B25" r:id="rId51" display="javascript:void(0)" xr:uid="{00000000-0004-0000-0300-000032000000}"/>
    <hyperlink ref="B26" r:id="rId52" display="javascript:void(0)" xr:uid="{00000000-0004-0000-0300-000033000000}"/>
    <hyperlink ref="B27" r:id="rId53" display="javascript:void(0)" xr:uid="{00000000-0004-0000-0300-000034000000}"/>
    <hyperlink ref="B49" r:id="rId54" display="javascript:void(0)" xr:uid="{00000000-0004-0000-0300-000035000000}"/>
    <hyperlink ref="B50" r:id="rId55" display="javascript:void(0)" xr:uid="{00000000-0004-0000-0300-000036000000}"/>
    <hyperlink ref="B51" r:id="rId56" display="javascript:void(0)" xr:uid="{00000000-0004-0000-0300-000037000000}"/>
    <hyperlink ref="B52" r:id="rId57" display="javascript:void(0)" xr:uid="{00000000-0004-0000-0300-000038000000}"/>
    <hyperlink ref="B53" r:id="rId58" display="javascript:void(0)" xr:uid="{00000000-0004-0000-0300-000039000000}"/>
    <hyperlink ref="B54" r:id="rId59" display="javascript:void(0)" xr:uid="{00000000-0004-0000-0300-00003A000000}"/>
    <hyperlink ref="B55" r:id="rId60" display="javascript:void(0)" xr:uid="{00000000-0004-0000-0300-00003B000000}"/>
    <hyperlink ref="B59" r:id="rId61" display="javascript:void(0)" xr:uid="{00000000-0004-0000-0300-00003C000000}"/>
    <hyperlink ref="B60" r:id="rId62" display="javascript:void(0)" xr:uid="{00000000-0004-0000-0300-00003D000000}"/>
    <hyperlink ref="B61" r:id="rId63" display="javascript:void(0)" xr:uid="{00000000-0004-0000-0300-00003E000000}"/>
    <hyperlink ref="B62" r:id="rId64" display="javascript:void(0)" xr:uid="{00000000-0004-0000-0300-00003F000000}"/>
    <hyperlink ref="B63" r:id="rId65" display="javascript:void(0)" xr:uid="{00000000-0004-0000-0300-000040000000}"/>
    <hyperlink ref="B65" r:id="rId66" display="javascript:void(0)" xr:uid="{00000000-0004-0000-0300-000041000000}"/>
    <hyperlink ref="B66" r:id="rId67" display="javascript:void(0)" xr:uid="{00000000-0004-0000-0300-000042000000}"/>
    <hyperlink ref="B67" r:id="rId68" display="javascript:void(0)" xr:uid="{00000000-0004-0000-0300-000043000000}"/>
    <hyperlink ref="B68" r:id="rId69" display="javascript:void(0)" xr:uid="{00000000-0004-0000-0300-000044000000}"/>
    <hyperlink ref="B70" r:id="rId70" display="javascript:void(0)" xr:uid="{00000000-0004-0000-0300-000045000000}"/>
    <hyperlink ref="B71" r:id="rId71" display="javascript:void(0)" xr:uid="{00000000-0004-0000-0300-000046000000}"/>
    <hyperlink ref="B72" r:id="rId72" display="javascript:void(0)" xr:uid="{00000000-0004-0000-0300-000047000000}"/>
    <hyperlink ref="B73" r:id="rId73" display="javascript:void(0)" xr:uid="{00000000-0004-0000-0300-000048000000}"/>
    <hyperlink ref="B85" r:id="rId74" display="javascript:void(0)" xr:uid="{00000000-0004-0000-0300-000049000000}"/>
    <hyperlink ref="B86" r:id="rId75" display="javascript:void(0)" xr:uid="{00000000-0004-0000-0300-00004A000000}"/>
    <hyperlink ref="B87" r:id="rId76" display="javascript:void(0)" xr:uid="{00000000-0004-0000-0300-00004B000000}"/>
    <hyperlink ref="B88" r:id="rId77" display="javascript:void(0)" xr:uid="{00000000-0004-0000-0300-00004C000000}"/>
    <hyperlink ref="B89" r:id="rId78" display="javascript:void(0)" xr:uid="{00000000-0004-0000-0300-00004D000000}"/>
    <hyperlink ref="B99" r:id="rId79" display="javascript:void(0)" xr:uid="{00000000-0004-0000-0300-00004E000000}"/>
    <hyperlink ref="B104" r:id="rId80" display="javascript:void(0)" xr:uid="{00000000-0004-0000-0300-00004F000000}"/>
    <hyperlink ref="B105" r:id="rId81" display="javascript:void(0)" xr:uid="{00000000-0004-0000-0300-000050000000}"/>
    <hyperlink ref="B106" r:id="rId82" display="javascript:void(0)" xr:uid="{00000000-0004-0000-0300-000051000000}"/>
    <hyperlink ref="B107" r:id="rId83" display="javascript:void(0)" xr:uid="{00000000-0004-0000-0300-000052000000}"/>
    <hyperlink ref="B108" r:id="rId84" display="javascript:void(0)" xr:uid="{00000000-0004-0000-0300-000053000000}"/>
    <hyperlink ref="B109" r:id="rId85" display="javascript:void(0)" xr:uid="{00000000-0004-0000-0300-000054000000}"/>
    <hyperlink ref="B110" r:id="rId86" display="javascript:void(0)" xr:uid="{00000000-0004-0000-0300-000055000000}"/>
    <hyperlink ref="B111" r:id="rId87" display="javascript:void(0)" xr:uid="{00000000-0004-0000-0300-000056000000}"/>
    <hyperlink ref="B113" r:id="rId88" display="javascript:void(0)" xr:uid="{00000000-0004-0000-0300-000057000000}"/>
  </hyperlinks>
  <pageMargins left="0.7" right="0.7" top="0.75" bottom="0.75" header="0.3" footer="0.3"/>
  <pageSetup orientation="portrait" r:id="rId89"/>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2000000}">
          <x14:formula1>
            <xm:f>'C:\Users\Administrator\AppData\Local\Microsoft\Windows\Temporary Internet Files\Content.Outlook\T15337AG\[WS01-02-BANK_Customer_BPR_Reference_Sheet.V1 (004).xlsx]Drop Down Fields'!#REF!</xm:f>
          </x14:formula1>
          <xm:sqref>C1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1DE"/>
  </sheetPr>
  <dimension ref="A1:CT9"/>
  <sheetViews>
    <sheetView tabSelected="1" zoomScale="86" zoomScaleNormal="86" zoomScaleSheetLayoutView="115" workbookViewId="0">
      <pane xSplit="2" ySplit="1" topLeftCell="C2" activePane="bottomRight" state="frozen"/>
      <selection pane="topRight" activeCell="G6" sqref="G6"/>
      <selection pane="bottomLeft" activeCell="G6" sqref="G6"/>
      <selection pane="bottomRight" activeCell="B2" sqref="B2"/>
    </sheetView>
  </sheetViews>
  <sheetFormatPr defaultColWidth="9.140625" defaultRowHeight="53.25" customHeight="1" x14ac:dyDescent="0.25"/>
  <cols>
    <col min="1" max="1" width="12.42578125" style="40" bestFit="1" customWidth="1"/>
    <col min="2" max="2" width="58" style="41" customWidth="1"/>
    <col min="3" max="3" width="19.5703125" style="40" customWidth="1"/>
    <col min="4" max="4" width="17.140625" style="40" customWidth="1"/>
    <col min="5" max="5" width="23.85546875" style="40" customWidth="1"/>
    <col min="6" max="6" width="13.85546875" style="40" customWidth="1"/>
    <col min="7" max="8" width="16.5703125" style="40" customWidth="1"/>
    <col min="9" max="9" width="21.85546875" style="40" hidden="1" customWidth="1"/>
    <col min="10" max="10" width="19.5703125" style="40" bestFit="1" customWidth="1"/>
    <col min="11" max="11" width="17.5703125" style="40" bestFit="1" customWidth="1"/>
    <col min="12" max="12" width="24" style="40" customWidth="1"/>
    <col min="13" max="13" width="15.140625" style="40" bestFit="1" customWidth="1"/>
    <col min="14" max="14" width="17" style="40" customWidth="1"/>
    <col min="15" max="15" width="13.140625" style="40" bestFit="1" customWidth="1"/>
    <col min="16" max="16" width="12.7109375" style="40" bestFit="1" customWidth="1"/>
    <col min="17" max="17" width="25.140625" style="40" customWidth="1"/>
    <col min="18" max="18" width="18.42578125" style="40" customWidth="1"/>
    <col min="19" max="19" width="13.28515625" style="40" customWidth="1"/>
    <col min="20" max="20" width="43.85546875" style="40" customWidth="1"/>
    <col min="21" max="21" width="13.140625" style="40" bestFit="1" customWidth="1"/>
    <col min="22" max="22" width="12.7109375" style="40" bestFit="1" customWidth="1"/>
    <col min="23" max="23" width="9.140625" style="33"/>
    <col min="24" max="24" width="26" style="33" bestFit="1" customWidth="1"/>
    <col min="25" max="98" width="9.140625" style="33"/>
    <col min="99" max="16384" width="9.140625" style="34"/>
  </cols>
  <sheetData>
    <row r="1" spans="1:98" ht="53.25" customHeight="1" x14ac:dyDescent="0.25">
      <c r="A1" s="31" t="s">
        <v>256</v>
      </c>
      <c r="B1" s="32" t="s">
        <v>257</v>
      </c>
      <c r="C1" s="31" t="s">
        <v>258</v>
      </c>
      <c r="D1" s="31" t="s">
        <v>259</v>
      </c>
      <c r="E1" s="31" t="s">
        <v>44</v>
      </c>
      <c r="F1" s="31" t="s">
        <v>260</v>
      </c>
      <c r="G1" s="31" t="s">
        <v>261</v>
      </c>
      <c r="H1" s="31" t="s">
        <v>262</v>
      </c>
      <c r="I1" s="31" t="s">
        <v>263</v>
      </c>
      <c r="J1" s="31" t="s">
        <v>264</v>
      </c>
      <c r="K1" s="31" t="s">
        <v>265</v>
      </c>
      <c r="L1" s="31" t="s">
        <v>266</v>
      </c>
      <c r="M1" s="31" t="s">
        <v>267</v>
      </c>
      <c r="N1" s="31" t="s">
        <v>268</v>
      </c>
      <c r="O1" s="31" t="s">
        <v>269</v>
      </c>
      <c r="P1" s="31" t="s">
        <v>270</v>
      </c>
      <c r="Q1" s="31" t="s">
        <v>271</v>
      </c>
      <c r="R1" s="31" t="s">
        <v>272</v>
      </c>
      <c r="S1" s="31" t="s">
        <v>273</v>
      </c>
      <c r="T1" s="31" t="s">
        <v>274</v>
      </c>
      <c r="U1" s="31" t="s">
        <v>275</v>
      </c>
      <c r="V1" s="31" t="s">
        <v>276</v>
      </c>
    </row>
    <row r="2" spans="1:98" s="39" customFormat="1" ht="53.25" customHeight="1" x14ac:dyDescent="0.25">
      <c r="A2" s="52" t="s">
        <v>53</v>
      </c>
      <c r="B2" s="104" t="s">
        <v>277</v>
      </c>
      <c r="C2" s="52" t="s">
        <v>278</v>
      </c>
      <c r="D2" s="52" t="s">
        <v>279</v>
      </c>
      <c r="E2" s="99" t="s">
        <v>280</v>
      </c>
      <c r="F2" s="19">
        <v>44550</v>
      </c>
      <c r="G2" s="8" t="s">
        <v>281</v>
      </c>
      <c r="H2" s="8" t="s">
        <v>27</v>
      </c>
      <c r="I2" s="35"/>
      <c r="J2" s="36" t="s">
        <v>282</v>
      </c>
      <c r="K2" s="37" t="s">
        <v>283</v>
      </c>
      <c r="L2" s="8" t="s">
        <v>284</v>
      </c>
      <c r="M2" s="35" t="s">
        <v>285</v>
      </c>
      <c r="N2" s="35"/>
      <c r="O2" s="10"/>
      <c r="P2" s="10"/>
      <c r="Q2" s="35"/>
      <c r="R2" s="36"/>
      <c r="S2" s="37"/>
      <c r="T2" s="37"/>
      <c r="U2" s="10"/>
      <c r="V2" s="10"/>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row>
    <row r="3" spans="1:98" s="39" customFormat="1" ht="63.75" x14ac:dyDescent="0.25">
      <c r="A3" s="52" t="s">
        <v>286</v>
      </c>
      <c r="B3" s="105" t="s">
        <v>287</v>
      </c>
      <c r="C3" s="53" t="s">
        <v>288</v>
      </c>
      <c r="D3" s="52" t="s">
        <v>289</v>
      </c>
      <c r="E3" s="99" t="s">
        <v>290</v>
      </c>
      <c r="F3" s="19">
        <v>44550</v>
      </c>
      <c r="G3" s="8" t="s">
        <v>281</v>
      </c>
      <c r="H3" s="8" t="s">
        <v>27</v>
      </c>
      <c r="I3" s="35"/>
      <c r="J3" s="36" t="s">
        <v>282</v>
      </c>
      <c r="K3" s="37" t="s">
        <v>283</v>
      </c>
      <c r="L3" s="8" t="s">
        <v>284</v>
      </c>
      <c r="M3" s="35" t="s">
        <v>291</v>
      </c>
      <c r="N3" s="35"/>
      <c r="O3" s="10"/>
      <c r="P3" s="10"/>
      <c r="Q3" s="35"/>
      <c r="R3" s="36"/>
      <c r="S3" s="37"/>
      <c r="T3" s="37"/>
      <c r="U3" s="10"/>
      <c r="V3" s="10"/>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row>
    <row r="4" spans="1:98" s="39" customFormat="1" ht="53.25" customHeight="1" x14ac:dyDescent="0.25">
      <c r="A4" s="52" t="s">
        <v>292</v>
      </c>
      <c r="B4" s="106" t="s">
        <v>293</v>
      </c>
      <c r="C4" s="52" t="s">
        <v>278</v>
      </c>
      <c r="D4" s="52" t="s">
        <v>294</v>
      </c>
      <c r="E4" s="99" t="s">
        <v>280</v>
      </c>
      <c r="F4" s="19">
        <v>44550</v>
      </c>
      <c r="G4" s="8" t="s">
        <v>281</v>
      </c>
      <c r="H4" s="8" t="s">
        <v>27</v>
      </c>
      <c r="I4" s="35"/>
      <c r="J4" s="36" t="s">
        <v>282</v>
      </c>
      <c r="K4" s="37" t="s">
        <v>283</v>
      </c>
      <c r="L4" s="8" t="s">
        <v>284</v>
      </c>
      <c r="M4" s="35" t="s">
        <v>285</v>
      </c>
      <c r="N4" s="35"/>
      <c r="O4" s="10"/>
      <c r="P4" s="10"/>
      <c r="Q4" s="35"/>
      <c r="R4" s="36"/>
      <c r="S4" s="37"/>
      <c r="T4" s="37"/>
      <c r="U4" s="10"/>
      <c r="V4" s="10"/>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row>
    <row r="5" spans="1:98" s="39" customFormat="1" ht="60" customHeight="1" x14ac:dyDescent="0.25">
      <c r="A5" s="52" t="s">
        <v>295</v>
      </c>
      <c r="B5" s="106" t="s">
        <v>296</v>
      </c>
      <c r="C5" s="52" t="s">
        <v>278</v>
      </c>
      <c r="D5" s="52" t="s">
        <v>279</v>
      </c>
      <c r="E5" s="99" t="s">
        <v>280</v>
      </c>
      <c r="F5" s="19">
        <v>44550</v>
      </c>
      <c r="G5" s="8" t="s">
        <v>281</v>
      </c>
      <c r="H5" s="8" t="s">
        <v>27</v>
      </c>
      <c r="I5" s="35"/>
      <c r="J5" s="36" t="s">
        <v>282</v>
      </c>
      <c r="K5" s="37" t="s">
        <v>283</v>
      </c>
      <c r="L5" s="8" t="s">
        <v>284</v>
      </c>
      <c r="M5" s="35" t="s">
        <v>285</v>
      </c>
      <c r="N5" s="35"/>
      <c r="O5" s="10"/>
      <c r="P5" s="10"/>
      <c r="Q5" s="35"/>
      <c r="R5" s="36"/>
      <c r="S5" s="37"/>
      <c r="T5" s="37"/>
      <c r="U5" s="10"/>
      <c r="V5" s="10"/>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row>
    <row r="6" spans="1:98" s="39" customFormat="1" ht="53.25" customHeight="1" x14ac:dyDescent="0.25">
      <c r="A6" s="52" t="s">
        <v>297</v>
      </c>
      <c r="B6" s="106" t="s">
        <v>298</v>
      </c>
      <c r="C6" s="52" t="s">
        <v>53</v>
      </c>
      <c r="D6" s="52" t="s">
        <v>299</v>
      </c>
      <c r="E6" s="99" t="s">
        <v>300</v>
      </c>
      <c r="F6" s="19">
        <v>44550</v>
      </c>
      <c r="G6" s="8" t="s">
        <v>281</v>
      </c>
      <c r="H6" s="8" t="s">
        <v>27</v>
      </c>
      <c r="I6" s="35"/>
      <c r="J6" s="36" t="s">
        <v>282</v>
      </c>
      <c r="K6" s="37" t="s">
        <v>283</v>
      </c>
      <c r="L6" s="8" t="s">
        <v>284</v>
      </c>
      <c r="M6" s="35" t="s">
        <v>285</v>
      </c>
      <c r="N6" s="35"/>
      <c r="O6" s="10"/>
      <c r="P6" s="10"/>
      <c r="Q6" s="35"/>
      <c r="R6" s="36"/>
      <c r="S6" s="37"/>
      <c r="T6" s="37"/>
      <c r="U6" s="10"/>
      <c r="V6" s="10"/>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row>
    <row r="7" spans="1:98" s="39" customFormat="1" ht="70.900000000000006" customHeight="1" x14ac:dyDescent="0.25">
      <c r="A7" s="52" t="s">
        <v>301</v>
      </c>
      <c r="B7" s="106" t="s">
        <v>302</v>
      </c>
      <c r="C7" s="52" t="s">
        <v>53</v>
      </c>
      <c r="D7" s="52" t="s">
        <v>303</v>
      </c>
      <c r="E7" s="99" t="s">
        <v>304</v>
      </c>
      <c r="F7" s="19">
        <v>44550</v>
      </c>
      <c r="G7" s="8" t="s">
        <v>281</v>
      </c>
      <c r="H7" s="8" t="s">
        <v>27</v>
      </c>
      <c r="I7" s="35"/>
      <c r="J7" s="36" t="s">
        <v>282</v>
      </c>
      <c r="K7" s="37" t="s">
        <v>283</v>
      </c>
      <c r="L7" s="8" t="s">
        <v>284</v>
      </c>
      <c r="M7" s="35" t="s">
        <v>285</v>
      </c>
      <c r="N7" s="35"/>
      <c r="O7" s="10"/>
      <c r="P7" s="10"/>
      <c r="Q7" s="35"/>
      <c r="R7" s="36"/>
      <c r="S7" s="37"/>
      <c r="T7" s="37"/>
      <c r="U7" s="10"/>
      <c r="V7" s="10"/>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row>
    <row r="8" spans="1:98" s="98" customFormat="1" ht="87" customHeight="1" x14ac:dyDescent="0.25">
      <c r="A8" s="52" t="s">
        <v>305</v>
      </c>
      <c r="B8" s="106" t="s">
        <v>306</v>
      </c>
      <c r="C8" s="11" t="s">
        <v>53</v>
      </c>
      <c r="D8" s="52" t="s">
        <v>307</v>
      </c>
      <c r="E8" s="99" t="s">
        <v>308</v>
      </c>
      <c r="F8" s="19">
        <v>44550</v>
      </c>
      <c r="G8" s="8" t="s">
        <v>281</v>
      </c>
      <c r="H8" s="8" t="s">
        <v>27</v>
      </c>
      <c r="I8" s="35"/>
      <c r="J8" s="36" t="s">
        <v>282</v>
      </c>
      <c r="K8" s="37" t="s">
        <v>283</v>
      </c>
      <c r="L8" s="8" t="s">
        <v>284</v>
      </c>
      <c r="M8" s="35" t="s">
        <v>285</v>
      </c>
      <c r="N8" s="11"/>
      <c r="O8" s="11"/>
      <c r="P8" s="11"/>
      <c r="Q8" s="11"/>
      <c r="R8" s="11"/>
      <c r="S8" s="11"/>
      <c r="T8" s="11"/>
      <c r="U8" s="11"/>
      <c r="V8" s="11"/>
      <c r="W8" s="97"/>
      <c r="X8" s="97"/>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s="98" customFormat="1" ht="60" x14ac:dyDescent="0.25">
      <c r="A9" s="52" t="s">
        <v>309</v>
      </c>
      <c r="B9" s="106" t="s">
        <v>310</v>
      </c>
      <c r="C9" s="11" t="s">
        <v>311</v>
      </c>
      <c r="D9" s="52" t="s">
        <v>312</v>
      </c>
      <c r="E9" s="99" t="s">
        <v>313</v>
      </c>
      <c r="F9" s="19">
        <v>44551</v>
      </c>
      <c r="G9" s="8" t="s">
        <v>281</v>
      </c>
      <c r="H9" s="8" t="s">
        <v>27</v>
      </c>
      <c r="I9" s="35"/>
      <c r="J9" s="36" t="s">
        <v>282</v>
      </c>
      <c r="K9" s="37" t="s">
        <v>283</v>
      </c>
      <c r="L9" s="8" t="s">
        <v>284</v>
      </c>
      <c r="M9" s="35" t="s">
        <v>285</v>
      </c>
      <c r="N9" s="11"/>
      <c r="O9" s="11"/>
      <c r="P9" s="11"/>
      <c r="Q9" s="11"/>
      <c r="R9" s="11"/>
      <c r="S9" s="11"/>
      <c r="T9" s="11"/>
      <c r="U9" s="11"/>
      <c r="V9" s="11"/>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7"/>
      <c r="BQ9" s="97"/>
      <c r="BR9" s="97"/>
      <c r="BS9" s="97"/>
      <c r="BT9" s="97"/>
      <c r="BU9" s="97"/>
      <c r="BV9" s="97"/>
      <c r="BW9" s="97"/>
      <c r="BX9" s="97"/>
      <c r="BY9" s="97"/>
      <c r="BZ9" s="97"/>
      <c r="CA9" s="97"/>
      <c r="CB9" s="97"/>
      <c r="CC9" s="97"/>
      <c r="CD9" s="97"/>
      <c r="CE9" s="97"/>
      <c r="CF9" s="97"/>
      <c r="CG9" s="97"/>
      <c r="CH9" s="97"/>
      <c r="CI9" s="97"/>
      <c r="CJ9" s="97"/>
      <c r="CK9" s="97"/>
      <c r="CL9" s="97"/>
      <c r="CM9" s="97"/>
      <c r="CN9" s="97"/>
      <c r="CO9" s="97"/>
      <c r="CP9" s="97"/>
      <c r="CQ9" s="97"/>
      <c r="CR9" s="97"/>
      <c r="CS9" s="97"/>
      <c r="CT9" s="97"/>
    </row>
  </sheetData>
  <sheetProtection formatCells="0" formatColumns="0" formatRows="0" insertColumns="0" insertRows="0" insertHyperlinks="0" deleteColumns="0" deleteRows="0" sort="0" autoFilter="0" pivotTables="0"/>
  <pageMargins left="0.7" right="0.7" top="0.75" bottom="0.75" header="0.3" footer="0.3"/>
  <pageSetup scale="38" orientation="landscape" r:id="rId1"/>
  <colBreaks count="1" manualBreakCount="1">
    <brk id="19" max="2003" man="1"/>
  </colBreak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0000000}">
          <x14:formula1>
            <xm:f>'Drop Down Fields'!$B$3:$B$6</xm:f>
          </x14:formula1>
          <xm:sqref>I2:I9</xm:sqref>
        </x14:dataValidation>
        <x14:dataValidation type="list" allowBlank="1" showInputMessage="1" showErrorMessage="1" xr:uid="{00000000-0002-0000-0400-000001000000}">
          <x14:formula1>
            <xm:f>'Drop Down Fields'!$B$14:$B$19</xm:f>
          </x14:formula1>
          <xm:sqref>K2:K9</xm:sqref>
        </x14:dataValidation>
        <x14:dataValidation type="list" allowBlank="1" showInputMessage="1" showErrorMessage="1" xr:uid="{00000000-0002-0000-0400-000002000000}">
          <x14:formula1>
            <xm:f>'Drop Down Fields'!$F$15:$F$17</xm:f>
          </x14:formula1>
          <xm:sqref>M2:M9</xm:sqref>
        </x14:dataValidation>
        <x14:dataValidation type="list" allowBlank="1" showInputMessage="1" showErrorMessage="1" xr:uid="{00000000-0002-0000-0400-000003000000}">
          <x14:formula1>
            <xm:f>'F:\NDC - Projects\Trade - Exim Bank\BPR Sheets\EXIM\[WS04-TF(LC)_EXIM_BPR_Reference_Sheet_V.1.0.xlsx]Legend'!#REF!</xm:f>
          </x14:formula1>
          <xm:sqref>J2:J9</xm:sqref>
        </x14:dataValidation>
        <x14:dataValidation type="list" allowBlank="1" showInputMessage="1" showErrorMessage="1" xr:uid="{00000000-0002-0000-0400-000004000000}">
          <x14:formula1>
            <xm:f>'https://xilligencepvtltd.sharepoint.com/sites/GETeam/Shared Documents/TBI/TBI fuctional Document/TBI-FSD/TBI-FSD/[Guarantees BPR Reference Sheet- NBP.xlsx]Drop Down Fields'!#REF!</xm:f>
          </x14:formula1>
          <xm:sqref>L2:L9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400"/>
  </sheetPr>
  <dimension ref="A2:LF7"/>
  <sheetViews>
    <sheetView zoomScale="80" zoomScaleNormal="80" workbookViewId="0">
      <pane xSplit="1" ySplit="2" topLeftCell="B3" activePane="bottomRight" state="frozen"/>
      <selection pane="topRight" activeCell="B15" sqref="B15"/>
      <selection pane="bottomLeft" activeCell="B15" sqref="B15"/>
      <selection pane="bottomRight" activeCell="D4" sqref="D4"/>
    </sheetView>
  </sheetViews>
  <sheetFormatPr defaultRowHeight="15" x14ac:dyDescent="0.25"/>
  <cols>
    <col min="1" max="1" width="7.42578125" style="22" customWidth="1"/>
    <col min="2" max="2" width="12.140625" style="22" customWidth="1"/>
    <col min="3" max="3" width="11.7109375" style="22" customWidth="1"/>
    <col min="4" max="4" width="20.42578125" style="22" bestFit="1" customWidth="1"/>
    <col min="5" max="5" width="46.85546875" style="23" customWidth="1"/>
    <col min="6" max="6" width="15.7109375" style="23" customWidth="1"/>
    <col min="7" max="7" width="13.28515625" style="22" customWidth="1"/>
    <col min="8" max="8" width="17.7109375" style="22" customWidth="1"/>
    <col min="9" max="9" width="25.5703125" style="22" customWidth="1"/>
    <col min="10" max="10" width="14.140625" style="22" customWidth="1"/>
    <col min="11" max="11" width="11.7109375" style="22" customWidth="1"/>
    <col min="12" max="13" width="14" style="22" customWidth="1"/>
    <col min="14" max="14" width="11.7109375" style="22" customWidth="1"/>
    <col min="15" max="15" width="33.28515625" style="23" customWidth="1"/>
    <col min="16" max="16" width="14.5703125" style="20" customWidth="1"/>
    <col min="17" max="17" width="14.28515625" style="21" customWidth="1"/>
    <col min="18" max="318" width="9.140625" style="15"/>
  </cols>
  <sheetData>
    <row r="2" spans="1:318" s="5" customFormat="1" ht="30" x14ac:dyDescent="0.25">
      <c r="A2" s="1" t="s">
        <v>314</v>
      </c>
      <c r="B2" s="1" t="s">
        <v>315</v>
      </c>
      <c r="C2" s="1" t="s">
        <v>316</v>
      </c>
      <c r="D2" s="1" t="s">
        <v>317</v>
      </c>
      <c r="E2" s="2" t="s">
        <v>318</v>
      </c>
      <c r="F2" s="1" t="s">
        <v>319</v>
      </c>
      <c r="G2" s="1" t="s">
        <v>320</v>
      </c>
      <c r="H2" s="1" t="s">
        <v>321</v>
      </c>
      <c r="I2" s="1" t="s">
        <v>322</v>
      </c>
      <c r="J2" s="1" t="s">
        <v>323</v>
      </c>
      <c r="K2" s="1" t="s">
        <v>324</v>
      </c>
      <c r="L2" s="1" t="s">
        <v>325</v>
      </c>
      <c r="M2" s="1" t="s">
        <v>326</v>
      </c>
      <c r="N2" s="1" t="s">
        <v>327</v>
      </c>
      <c r="O2" s="2" t="s">
        <v>328</v>
      </c>
      <c r="P2" s="3" t="s">
        <v>329</v>
      </c>
      <c r="Q2" s="1" t="s">
        <v>330</v>
      </c>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row>
    <row r="3" spans="1:318" ht="47.25" x14ac:dyDescent="0.25">
      <c r="A3" s="6">
        <v>1</v>
      </c>
      <c r="B3" s="7">
        <v>44187</v>
      </c>
      <c r="C3" s="92" t="s">
        <v>331</v>
      </c>
      <c r="D3" s="8" t="s">
        <v>332</v>
      </c>
      <c r="E3" s="9" t="s">
        <v>333</v>
      </c>
      <c r="F3" s="11" t="s">
        <v>285</v>
      </c>
      <c r="G3" s="10" t="s">
        <v>334</v>
      </c>
      <c r="H3" s="11" t="s">
        <v>335</v>
      </c>
      <c r="I3" s="8" t="s">
        <v>27</v>
      </c>
      <c r="J3" s="11"/>
      <c r="K3" s="7"/>
      <c r="L3" s="7"/>
      <c r="M3" s="7"/>
      <c r="N3" s="7"/>
      <c r="O3" s="12"/>
      <c r="P3" s="13"/>
      <c r="Q3" s="14"/>
    </row>
    <row r="4" spans="1:318" ht="47.25" x14ac:dyDescent="0.25">
      <c r="A4" s="6">
        <v>2</v>
      </c>
      <c r="B4" s="7">
        <v>44187</v>
      </c>
      <c r="C4" s="92" t="s">
        <v>331</v>
      </c>
      <c r="D4" s="8" t="s">
        <v>336</v>
      </c>
      <c r="E4" s="9" t="s">
        <v>337</v>
      </c>
      <c r="F4" s="11" t="s">
        <v>285</v>
      </c>
      <c r="G4" s="10" t="s">
        <v>334</v>
      </c>
      <c r="H4" s="11" t="s">
        <v>335</v>
      </c>
      <c r="I4" s="8" t="s">
        <v>27</v>
      </c>
      <c r="J4" s="11"/>
      <c r="K4" s="7"/>
      <c r="L4" s="7"/>
      <c r="M4" s="7"/>
      <c r="N4" s="16"/>
      <c r="O4" s="9"/>
      <c r="P4" s="17">
        <f t="shared" ref="P4" ca="1" si="0">IF(G4="Closed",N4-K4,IF(K4&gt;TODAY(),0,IF(K4="",0,NETWORKDAYS(K4+2,TODAY()+2,6)-1)))</f>
        <v>0</v>
      </c>
      <c r="Q4" s="14" t="str">
        <f t="shared" ref="Q4" si="1">IF(G4="Closed",NETWORKDAYS(B4+2,N4+2,6)-1,"N/A")</f>
        <v>N/A</v>
      </c>
    </row>
    <row r="5" spans="1:318" ht="47.25" x14ac:dyDescent="0.25">
      <c r="A5" s="6">
        <v>3</v>
      </c>
      <c r="B5" s="7">
        <v>44187</v>
      </c>
      <c r="C5" s="92" t="s">
        <v>331</v>
      </c>
      <c r="D5" s="8" t="s">
        <v>338</v>
      </c>
      <c r="E5" s="9" t="s">
        <v>339</v>
      </c>
      <c r="F5" s="11" t="s">
        <v>285</v>
      </c>
      <c r="G5" s="10" t="s">
        <v>334</v>
      </c>
      <c r="H5" s="11" t="s">
        <v>335</v>
      </c>
      <c r="I5" s="8" t="s">
        <v>27</v>
      </c>
      <c r="J5" s="11"/>
      <c r="K5" s="7"/>
      <c r="L5" s="7"/>
      <c r="M5" s="7"/>
      <c r="N5" s="7"/>
      <c r="O5" s="9"/>
      <c r="P5" s="17" t="e">
        <f ca="1">IF(#REF!="Closed",N5-K5,IF(K5&gt;TODAY(),0,IF(K5="",0,NETWORKDAYS(K5+2,TODAY()+2,6)-1)))</f>
        <v>#REF!</v>
      </c>
      <c r="Q5" s="14" t="e">
        <f>IF(#REF!="Closed",NETWORKDAYS(#REF!+2,N5+2,6)-1,"N/A")</f>
        <v>#REF!</v>
      </c>
    </row>
    <row r="6" spans="1:318" ht="47.25" x14ac:dyDescent="0.25">
      <c r="A6" s="6">
        <v>4</v>
      </c>
      <c r="B6" s="7">
        <v>44187</v>
      </c>
      <c r="C6" s="92" t="s">
        <v>331</v>
      </c>
      <c r="D6" s="8" t="s">
        <v>340</v>
      </c>
      <c r="E6" s="9" t="s">
        <v>339</v>
      </c>
      <c r="F6" s="11" t="s">
        <v>285</v>
      </c>
      <c r="G6" s="10" t="s">
        <v>334</v>
      </c>
      <c r="H6" s="11" t="s">
        <v>335</v>
      </c>
      <c r="I6" s="8" t="s">
        <v>27</v>
      </c>
      <c r="J6" s="11"/>
      <c r="K6" s="7"/>
      <c r="L6" s="7"/>
      <c r="M6" s="7"/>
      <c r="N6" s="7"/>
      <c r="O6" s="9"/>
      <c r="P6" s="17">
        <f ca="1">IF(G5="Closed",N6-K6,IF(K6&gt;TODAY(),0,IF(K6="",0,NETWORKDAYS(K6+2,TODAY()+2,6)-1)))</f>
        <v>0</v>
      </c>
      <c r="Q6" s="14" t="str">
        <f>IF(G5="Closed",NETWORKDAYS(B5+2,N6+2,6)-1,"N/A")</f>
        <v>N/A</v>
      </c>
    </row>
    <row r="7" spans="1:318" ht="47.25" x14ac:dyDescent="0.25">
      <c r="A7" s="6">
        <v>5</v>
      </c>
      <c r="B7" s="7">
        <v>44187</v>
      </c>
      <c r="C7" s="92" t="s">
        <v>331</v>
      </c>
      <c r="D7" s="101" t="s">
        <v>341</v>
      </c>
      <c r="E7" s="9" t="s">
        <v>342</v>
      </c>
      <c r="F7" s="11" t="s">
        <v>285</v>
      </c>
      <c r="G7" s="10" t="s">
        <v>334</v>
      </c>
      <c r="H7" s="11" t="s">
        <v>335</v>
      </c>
      <c r="I7" s="8" t="s">
        <v>27</v>
      </c>
      <c r="J7" s="11"/>
      <c r="K7" s="7"/>
      <c r="L7" s="7"/>
      <c r="M7" s="7"/>
      <c r="N7" s="7"/>
      <c r="O7" s="18"/>
      <c r="P7" s="17" t="e">
        <f ca="1">IF(#REF!="Closed",N7-K7,IF(K7&gt;TODAY(),0,IF(K7="",0,NETWORKDAYS(K7+2,TODAY()+2,6)-1)))</f>
        <v>#REF!</v>
      </c>
      <c r="Q7" s="14" t="e">
        <f>IF(#REF!="Closed",NETWORKDAYS(#REF!+2,N7+2,6)-1,"N/A")</f>
        <v>#REF!</v>
      </c>
    </row>
  </sheetData>
  <sheetProtection formatCells="0" formatColumns="0" formatRows="0" insertColumns="0" insertRows="0" insertHyperlinks="0" deleteColumns="0" deleteRows="0" sort="0" autoFilter="0" pivotTables="0"/>
  <dataValidations count="2">
    <dataValidation type="list" allowBlank="1" showInputMessage="1" showErrorMessage="1" sqref="J3:J7" xr:uid="{00000000-0002-0000-0500-000000000000}">
      <formula1>"Deliverables,Tech Decision,Business Decision,Extra discussion"</formula1>
    </dataValidation>
    <dataValidation type="list" allowBlank="1" showInputMessage="1" showErrorMessage="1" prompt="Priority Levels:_x000a_1 - Highest_x000a_2 - Medium_x000a_3 - Low" sqref="F3:F7" xr:uid="{00000000-0002-0000-0500-000001000000}">
      <formula1>Priority</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2000000}">
          <x14:formula1>
            <xm:f>'Drop Down Fields'!$B$27:$B$28</xm:f>
          </x14:formula1>
          <xm:sqref>H3:H7</xm:sqref>
        </x14:dataValidation>
        <x14:dataValidation type="list" allowBlank="1" showInputMessage="1" showErrorMessage="1" xr:uid="{00000000-0002-0000-0500-000003000000}">
          <x14:formula1>
            <xm:f>'Drop Down Fields'!$D$22:$D$23</xm:f>
          </x14:formula1>
          <xm:sqref>G3:G7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AD85"/>
  <sheetViews>
    <sheetView workbookViewId="0">
      <selection activeCell="B28" sqref="B28"/>
    </sheetView>
  </sheetViews>
  <sheetFormatPr defaultRowHeight="15" x14ac:dyDescent="0.25"/>
  <cols>
    <col min="1" max="1" width="4.5703125" style="15" customWidth="1"/>
    <col min="2" max="2" width="20.85546875" customWidth="1"/>
    <col min="3" max="3" width="3" style="15" customWidth="1"/>
    <col min="4" max="4" width="27.85546875" customWidth="1"/>
    <col min="5" max="5" width="3.7109375" style="15" customWidth="1"/>
    <col min="6" max="6" width="27.7109375" customWidth="1"/>
    <col min="7" max="7" width="3.5703125" style="15" customWidth="1"/>
    <col min="8" max="8" width="0.7109375" customWidth="1"/>
    <col min="9" max="9" width="24.7109375" bestFit="1" customWidth="1"/>
    <col min="10" max="30" width="9.140625" style="15"/>
  </cols>
  <sheetData>
    <row r="1" spans="2:9" s="15" customFormat="1" x14ac:dyDescent="0.25"/>
    <row r="2" spans="2:9" s="15" customFormat="1" x14ac:dyDescent="0.25">
      <c r="B2" s="24" t="s">
        <v>343</v>
      </c>
      <c r="D2" s="24" t="s">
        <v>344</v>
      </c>
      <c r="F2" s="24" t="s">
        <v>344</v>
      </c>
      <c r="H2"/>
      <c r="I2" s="24" t="s">
        <v>45</v>
      </c>
    </row>
    <row r="3" spans="2:9" s="15" customFormat="1" x14ac:dyDescent="0.25">
      <c r="B3" s="21" t="s">
        <v>345</v>
      </c>
      <c r="D3" s="25" t="s">
        <v>346</v>
      </c>
      <c r="F3" s="21" t="s">
        <v>347</v>
      </c>
      <c r="I3" s="25" t="s">
        <v>59</v>
      </c>
    </row>
    <row r="4" spans="2:9" s="15" customFormat="1" x14ac:dyDescent="0.25">
      <c r="B4" s="21" t="s">
        <v>348</v>
      </c>
      <c r="D4" s="25" t="s">
        <v>349</v>
      </c>
      <c r="F4" s="21" t="s">
        <v>350</v>
      </c>
      <c r="I4" s="25" t="s">
        <v>351</v>
      </c>
    </row>
    <row r="5" spans="2:9" s="15" customFormat="1" x14ac:dyDescent="0.25">
      <c r="B5" s="21" t="s">
        <v>352</v>
      </c>
      <c r="D5" s="25" t="s">
        <v>353</v>
      </c>
      <c r="F5" s="21" t="s">
        <v>282</v>
      </c>
      <c r="I5" s="25" t="s">
        <v>354</v>
      </c>
    </row>
    <row r="6" spans="2:9" s="15" customFormat="1" x14ac:dyDescent="0.25">
      <c r="B6" s="21" t="s">
        <v>355</v>
      </c>
      <c r="D6" s="25" t="s">
        <v>356</v>
      </c>
      <c r="F6" s="25" t="s">
        <v>357</v>
      </c>
      <c r="I6" s="25" t="s">
        <v>358</v>
      </c>
    </row>
    <row r="7" spans="2:9" s="15" customFormat="1" x14ac:dyDescent="0.25">
      <c r="D7" s="25" t="s">
        <v>359</v>
      </c>
      <c r="F7" s="25" t="s">
        <v>354</v>
      </c>
    </row>
    <row r="8" spans="2:9" s="15" customFormat="1" x14ac:dyDescent="0.25">
      <c r="B8" s="24" t="s">
        <v>360</v>
      </c>
      <c r="D8"/>
      <c r="F8" s="25" t="s">
        <v>361</v>
      </c>
      <c r="H8"/>
      <c r="I8" s="24" t="s">
        <v>362</v>
      </c>
    </row>
    <row r="9" spans="2:9" s="15" customFormat="1" x14ac:dyDescent="0.25">
      <c r="B9" s="21" t="s">
        <v>363</v>
      </c>
      <c r="D9" s="24" t="s">
        <v>364</v>
      </c>
      <c r="F9"/>
      <c r="I9" s="25" t="s">
        <v>365</v>
      </c>
    </row>
    <row r="10" spans="2:9" s="15" customFormat="1" x14ac:dyDescent="0.25">
      <c r="B10" s="21" t="s">
        <v>285</v>
      </c>
      <c r="D10" s="25" t="s">
        <v>366</v>
      </c>
      <c r="F10"/>
      <c r="I10" s="25" t="s">
        <v>284</v>
      </c>
    </row>
    <row r="11" spans="2:9" s="15" customFormat="1" x14ac:dyDescent="0.25">
      <c r="B11" s="21" t="s">
        <v>291</v>
      </c>
      <c r="D11" s="25" t="s">
        <v>367</v>
      </c>
      <c r="F11" s="25"/>
      <c r="I11" s="25" t="s">
        <v>368</v>
      </c>
    </row>
    <row r="12" spans="2:9" s="15" customFormat="1" x14ac:dyDescent="0.25">
      <c r="D12" s="25" t="s">
        <v>369</v>
      </c>
      <c r="I12" s="25" t="s">
        <v>370</v>
      </c>
    </row>
    <row r="13" spans="2:9" s="15" customFormat="1" x14ac:dyDescent="0.25">
      <c r="B13" s="24" t="s">
        <v>371</v>
      </c>
      <c r="D13" s="25"/>
      <c r="I13" s="25" t="s">
        <v>357</v>
      </c>
    </row>
    <row r="14" spans="2:9" s="15" customFormat="1" x14ac:dyDescent="0.25">
      <c r="B14" s="21" t="s">
        <v>347</v>
      </c>
      <c r="F14" s="24" t="s">
        <v>372</v>
      </c>
      <c r="I14" s="25" t="s">
        <v>356</v>
      </c>
    </row>
    <row r="15" spans="2:9" s="15" customFormat="1" x14ac:dyDescent="0.25">
      <c r="B15" s="21" t="s">
        <v>283</v>
      </c>
      <c r="D15" s="24" t="s">
        <v>373</v>
      </c>
      <c r="F15" s="25" t="s">
        <v>291</v>
      </c>
      <c r="I15" s="25" t="s">
        <v>359</v>
      </c>
    </row>
    <row r="16" spans="2:9" s="15" customFormat="1" x14ac:dyDescent="0.25">
      <c r="B16" s="21" t="s">
        <v>374</v>
      </c>
      <c r="D16" s="26" t="s">
        <v>375</v>
      </c>
      <c r="F16" s="25" t="s">
        <v>285</v>
      </c>
      <c r="I16" s="25" t="s">
        <v>376</v>
      </c>
    </row>
    <row r="17" spans="2:9" s="15" customFormat="1" x14ac:dyDescent="0.25">
      <c r="B17" s="21" t="s">
        <v>377</v>
      </c>
      <c r="D17" s="26" t="s">
        <v>366</v>
      </c>
      <c r="F17" s="25" t="s">
        <v>363</v>
      </c>
      <c r="I17" s="25" t="s">
        <v>378</v>
      </c>
    </row>
    <row r="18" spans="2:9" s="15" customFormat="1" x14ac:dyDescent="0.25">
      <c r="B18" s="21" t="s">
        <v>379</v>
      </c>
      <c r="D18" s="26" t="s">
        <v>33</v>
      </c>
      <c r="I18" s="25" t="s">
        <v>380</v>
      </c>
    </row>
    <row r="19" spans="2:9" s="15" customFormat="1" x14ac:dyDescent="0.25">
      <c r="B19" s="15" t="s">
        <v>381</v>
      </c>
      <c r="D19" s="26" t="s">
        <v>382</v>
      </c>
      <c r="F19" s="24" t="s">
        <v>383</v>
      </c>
      <c r="I19" s="25" t="s">
        <v>384</v>
      </c>
    </row>
    <row r="20" spans="2:9" s="15" customFormat="1" x14ac:dyDescent="0.25">
      <c r="B20" s="24" t="s">
        <v>385</v>
      </c>
      <c r="D20" s="25"/>
      <c r="F20" s="21" t="s">
        <v>386</v>
      </c>
      <c r="H20"/>
      <c r="I20" s="24" t="s">
        <v>387</v>
      </c>
    </row>
    <row r="21" spans="2:9" s="15" customFormat="1" x14ac:dyDescent="0.25">
      <c r="B21" s="21" t="s">
        <v>388</v>
      </c>
      <c r="D21" s="24" t="s">
        <v>389</v>
      </c>
      <c r="F21" s="21" t="s">
        <v>390</v>
      </c>
      <c r="I21" s="25" t="s">
        <v>391</v>
      </c>
    </row>
    <row r="22" spans="2:9" s="15" customFormat="1" x14ac:dyDescent="0.25">
      <c r="B22" s="21" t="s">
        <v>392</v>
      </c>
      <c r="D22" s="25" t="s">
        <v>334</v>
      </c>
      <c r="F22" s="21" t="s">
        <v>393</v>
      </c>
      <c r="I22" s="25" t="s">
        <v>394</v>
      </c>
    </row>
    <row r="23" spans="2:9" s="15" customFormat="1" x14ac:dyDescent="0.25">
      <c r="B23" s="21" t="s">
        <v>395</v>
      </c>
      <c r="D23" s="25" t="s">
        <v>396</v>
      </c>
      <c r="F23" s="21" t="s">
        <v>397</v>
      </c>
      <c r="I23" s="25" t="s">
        <v>398</v>
      </c>
    </row>
    <row r="24" spans="2:9" s="15" customFormat="1" x14ac:dyDescent="0.25">
      <c r="B24" s="21" t="s">
        <v>399</v>
      </c>
      <c r="D24" s="25"/>
      <c r="F24" s="21" t="s">
        <v>400</v>
      </c>
    </row>
    <row r="25" spans="2:9" s="15" customFormat="1" x14ac:dyDescent="0.25">
      <c r="D25" s="24" t="s">
        <v>401</v>
      </c>
      <c r="F25" s="21" t="s">
        <v>402</v>
      </c>
    </row>
    <row r="26" spans="2:9" s="15" customFormat="1" x14ac:dyDescent="0.25">
      <c r="B26" s="24" t="s">
        <v>403</v>
      </c>
      <c r="D26" s="21" t="s">
        <v>404</v>
      </c>
      <c r="F26"/>
      <c r="H26"/>
      <c r="I26" s="24" t="s">
        <v>319</v>
      </c>
    </row>
    <row r="27" spans="2:9" s="15" customFormat="1" x14ac:dyDescent="0.25">
      <c r="B27" s="27" t="s">
        <v>335</v>
      </c>
      <c r="D27" s="21" t="s">
        <v>405</v>
      </c>
      <c r="F27" s="24" t="s">
        <v>406</v>
      </c>
      <c r="I27" s="25" t="s">
        <v>407</v>
      </c>
    </row>
    <row r="28" spans="2:9" s="15" customFormat="1" x14ac:dyDescent="0.25">
      <c r="B28" s="21" t="s">
        <v>408</v>
      </c>
      <c r="D28" s="21" t="s">
        <v>400</v>
      </c>
      <c r="F28" s="21" t="s">
        <v>409</v>
      </c>
      <c r="I28" s="25" t="s">
        <v>410</v>
      </c>
    </row>
    <row r="29" spans="2:9" s="15" customFormat="1" x14ac:dyDescent="0.25">
      <c r="B29" s="21"/>
      <c r="D29" s="21" t="s">
        <v>402</v>
      </c>
      <c r="F29" s="21" t="s">
        <v>411</v>
      </c>
      <c r="I29" s="25" t="s">
        <v>412</v>
      </c>
    </row>
    <row r="30" spans="2:9" s="15" customFormat="1" x14ac:dyDescent="0.25">
      <c r="B30" s="21"/>
      <c r="D30" s="25" t="s">
        <v>413</v>
      </c>
      <c r="F30" s="21" t="s">
        <v>414</v>
      </c>
    </row>
    <row r="31" spans="2:9" s="15" customFormat="1" x14ac:dyDescent="0.25">
      <c r="D31" s="21"/>
      <c r="I31" s="24" t="s">
        <v>415</v>
      </c>
    </row>
    <row r="32" spans="2:9" s="15" customFormat="1" x14ac:dyDescent="0.25">
      <c r="D32" s="25"/>
      <c r="I32" s="28" t="s">
        <v>398</v>
      </c>
    </row>
    <row r="33" spans="9:9" s="15" customFormat="1" x14ac:dyDescent="0.25">
      <c r="I33" s="29" t="s">
        <v>394</v>
      </c>
    </row>
    <row r="34" spans="9:9" s="15" customFormat="1" x14ac:dyDescent="0.25">
      <c r="I34" s="30" t="s">
        <v>391</v>
      </c>
    </row>
    <row r="35" spans="9:9" s="15" customFormat="1" x14ac:dyDescent="0.25"/>
    <row r="36" spans="9:9" s="15" customFormat="1" x14ac:dyDescent="0.25"/>
    <row r="37" spans="9:9" s="15" customFormat="1" x14ac:dyDescent="0.25"/>
    <row r="38" spans="9:9" s="15" customFormat="1" x14ac:dyDescent="0.25"/>
    <row r="39" spans="9:9" s="15" customFormat="1" x14ac:dyDescent="0.25"/>
    <row r="40" spans="9:9" s="15" customFormat="1" x14ac:dyDescent="0.25"/>
    <row r="41" spans="9:9" s="15" customFormat="1" x14ac:dyDescent="0.25"/>
    <row r="42" spans="9:9" s="15" customFormat="1" x14ac:dyDescent="0.25"/>
    <row r="43" spans="9:9" s="15" customFormat="1" x14ac:dyDescent="0.25"/>
    <row r="44" spans="9:9" s="15" customFormat="1" x14ac:dyDescent="0.25"/>
    <row r="45" spans="9:9" s="15" customFormat="1" x14ac:dyDescent="0.25"/>
    <row r="46" spans="9:9" s="15" customFormat="1" x14ac:dyDescent="0.25"/>
    <row r="47" spans="9:9" s="15" customFormat="1" x14ac:dyDescent="0.25"/>
    <row r="48" spans="9:9" s="15" customFormat="1" x14ac:dyDescent="0.25"/>
    <row r="49" s="15" customFormat="1" x14ac:dyDescent="0.25"/>
    <row r="50" s="15" customFormat="1" x14ac:dyDescent="0.25"/>
    <row r="51" s="15" customFormat="1" x14ac:dyDescent="0.25"/>
    <row r="52" s="15" customFormat="1" x14ac:dyDescent="0.25"/>
    <row r="53" s="15" customFormat="1" x14ac:dyDescent="0.25"/>
    <row r="54" s="15" customFormat="1" x14ac:dyDescent="0.25"/>
    <row r="55" s="15" customFormat="1" x14ac:dyDescent="0.25"/>
    <row r="56" s="15" customFormat="1" x14ac:dyDescent="0.25"/>
    <row r="57" s="15" customFormat="1" x14ac:dyDescent="0.25"/>
    <row r="58" s="15" customFormat="1" x14ac:dyDescent="0.25"/>
    <row r="59" s="15" customFormat="1" x14ac:dyDescent="0.25"/>
    <row r="60" s="15" customFormat="1" x14ac:dyDescent="0.25"/>
    <row r="61" s="15" customFormat="1" x14ac:dyDescent="0.25"/>
    <row r="62" s="15" customFormat="1" x14ac:dyDescent="0.25"/>
    <row r="63" s="15" customFormat="1" x14ac:dyDescent="0.25"/>
    <row r="64" s="15" customFormat="1" x14ac:dyDescent="0.25"/>
    <row r="65" s="15" customFormat="1" x14ac:dyDescent="0.25"/>
    <row r="66" s="15" customFormat="1" x14ac:dyDescent="0.25"/>
    <row r="67" s="15" customFormat="1" x14ac:dyDescent="0.25"/>
    <row r="68" s="15" customFormat="1" x14ac:dyDescent="0.25"/>
    <row r="69" s="15" customFormat="1" x14ac:dyDescent="0.25"/>
    <row r="70" s="15" customFormat="1" x14ac:dyDescent="0.25"/>
    <row r="71" s="15" customFormat="1" x14ac:dyDescent="0.25"/>
    <row r="72" s="15" customFormat="1" x14ac:dyDescent="0.25"/>
    <row r="73" s="15" customFormat="1" x14ac:dyDescent="0.25"/>
    <row r="74" s="15" customFormat="1" x14ac:dyDescent="0.25"/>
    <row r="75" s="15" customFormat="1" x14ac:dyDescent="0.25"/>
    <row r="76" s="15" customFormat="1" x14ac:dyDescent="0.25"/>
    <row r="77" s="15" customFormat="1" x14ac:dyDescent="0.25"/>
    <row r="78" s="15" customFormat="1" x14ac:dyDescent="0.25"/>
    <row r="79" s="15" customFormat="1" x14ac:dyDescent="0.25"/>
    <row r="80" s="15" customFormat="1" x14ac:dyDescent="0.25"/>
    <row r="81" s="15" customFormat="1" x14ac:dyDescent="0.25"/>
    <row r="82" s="15" customFormat="1" x14ac:dyDescent="0.25"/>
    <row r="83" s="15" customFormat="1" x14ac:dyDescent="0.25"/>
    <row r="84" s="15" customFormat="1" x14ac:dyDescent="0.25"/>
    <row r="85" s="15" customForma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F8494E-6241-4313-B194-25F857D37D0E}">
  <ds:schemaRefs>
    <ds:schemaRef ds:uri="http://schemas.microsoft.com/office/2006/metadata/properties"/>
    <ds:schemaRef ds:uri="http://schemas.microsoft.com/office/infopath/2007/PartnerControls"/>
    <ds:schemaRef ds:uri="2034e750-5a1e-4765-a14a-eb78901ce74e"/>
    <ds:schemaRef ds:uri="ba59517d-6e3c-432f-b4a3-1350a2c69b77"/>
  </ds:schemaRefs>
</ds:datastoreItem>
</file>

<file path=customXml/itemProps2.xml><?xml version="1.0" encoding="utf-8"?>
<ds:datastoreItem xmlns:ds="http://schemas.openxmlformats.org/officeDocument/2006/customXml" ds:itemID="{879A424E-CC01-4E96-9558-5F4483341C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59517d-6e3c-432f-b4a3-1350a2c69b77"/>
    <ds:schemaRef ds:uri="2034e750-5a1e-4765-a14a-eb78901ce7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5F9324-4017-4F47-8394-CC0540C896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Sign Off</vt:lpstr>
      <vt:lpstr>Version History</vt:lpstr>
      <vt:lpstr>Products</vt:lpstr>
      <vt:lpstr>Processes</vt:lpstr>
      <vt:lpstr>Scoping Gaps</vt:lpstr>
      <vt:lpstr>Followup Sheet</vt:lpstr>
      <vt:lpstr>Drop Down Fields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Venkateshwaran T</cp:lastModifiedBy>
  <cp:revision/>
  <dcterms:created xsi:type="dcterms:W3CDTF">2019-04-02T05:23:26Z</dcterms:created>
  <dcterms:modified xsi:type="dcterms:W3CDTF">2025-05-30T12:54:08Z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